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3f8026467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5c52ec23116246cb"/>
    <x:sheet xmlns:r="http://schemas.openxmlformats.org/officeDocument/2006/relationships" name="TITULAR" sheetId="2" r:id="R50e5967bd1cd4feb"/>
    <x:sheet xmlns:r="http://schemas.openxmlformats.org/officeDocument/2006/relationships" name="INFORMES" sheetId="3" r:id="R4799b5e277814843"/>
    <x:sheet xmlns:r="http://schemas.openxmlformats.org/officeDocument/2006/relationships" name="LANCAMENTOS" sheetId="4" r:id="R233041aafc004b2e"/>
    <x:sheet xmlns:r="http://schemas.openxmlformats.org/officeDocument/2006/relationships" name="DOCUMENTOS" sheetId="5" r:id="R849397b20af742cf"/>
    <x:sheet xmlns:r="http://schemas.openxmlformats.org/officeDocument/2006/relationships" name="RESUMO" sheetId="6" r:id="Ra512cc51590d475a"/>
    <x:sheet xmlns:r="http://schemas.openxmlformats.org/officeDocument/2006/relationships" name="LISTAS" sheetId="7" r:id="R5a668422a8174785"/>
    <x:sheet xmlns:r="http://schemas.openxmlformats.org/officeDocument/2006/relationships" name="GUIA" sheetId="8" r:id="R13338113e708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[Red](&quot;R$&quot; #,##0.00);&quot;R$&quot; 0.00"/>
    <x:numFmt numFmtId="201" formatCode="@"/>
    <x:numFmt numFmtId="202" formatCode="dd/mm/yyyy"/>
  </x:numFmts>
  <x:fonts count="7">
    <x:font>
      <x:sz val="11"/>
      <x:name val="Carlito"/>
    </x:font>
    <x:font>
      <x:b/>
      <x:sz val="11"/>
      <x:color rgb="FF087E87"/>
      <x:name val="Carlito"/>
    </x:font>
    <x:font>
      <x:b/>
      <x:sz val="16"/>
      <x:color rgb="FFFFFFFF"/>
      <x:name val="Carlito"/>
    </x:font>
    <x:font>
      <x:b/>
      <x:sz val="11"/>
      <x:color rgb="FF203347"/>
      <x:name val="Carlito"/>
    </x:font>
    <x:font>
      <x:b/>
      <x:sz val="11"/>
      <x:color rgb="FFFFFFFF"/>
      <x:name val="Carlito"/>
    </x:font>
    <x:font>
      <x:b/>
      <x:sz val="20"/>
      <x:color rgb="FF203347"/>
      <x:name val="Carlito"/>
    </x:font>
    <x:font>
      <x:sz val="11"/>
      <x:color rgb="FF2033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FEBF1"/>
      </x:patternFill>
    </x:fill>
    <x:fill>
      <x:patternFill patternType="solid">
        <x:fgColor rgb="FF13263D"/>
      </x:patternFill>
    </x:fill>
    <x:fill>
      <x:patternFill patternType="solid">
        <x:fgColor rgb="FFFFF1CE"/>
      </x:patternFill>
    </x:fill>
    <x:fill>
      <x:patternFill patternType="solid">
        <x:fgColor rgb="FF087E87"/>
      </x:patternFill>
    </x:fill>
    <x:fill>
      <x:patternFill patternType="solid">
        <x:fgColor rgb="FFE9F5F4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202" fontId="6" fillId="6" borderId="0" xfId="0" applyNumberFormat="1" applyFont="1" applyFill="1" applyBorder="1"/>
    <x:xf numFmtId="202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</x:cellXfs>
  <x:cellStyles count="1">
    <x:cellStyle name="Normal" xfId="0"/>
  </x:cellStyles>
  <x:dxfs count="5">
    <x:dxf>
      <x:font>
        <x:color rgb="FFB42318"/>
      </x:font>
      <x:fill>
        <x:patternFill patternType="solid">
          <x:bgColor rgb="FFFFE5DF"/>
        </x:patternFill>
      </x:fill>
    </x:dxf>
    <x:dxf>
      <x:fill>
        <x:patternFill patternType="solid">
          <x:bgColor rgb="FFFFE6D9"/>
        </x:patternFill>
      </x:fill>
    </x:dxf>
    <x:dxf>
      <x:fill>
        <x:patternFill patternType="solid">
          <x:bgColor rgb="FFFFE5DF"/>
        </x:patternFill>
      </x:fill>
    </x:dxf>
    <x:dxf>
      <x:font>
        <x:color rgb="FF9E352A"/>
      </x:font>
      <x:fill>
        <x:patternFill patternType="solid">
          <x:bgColor rgb="FFFFE5DF"/>
        </x:patternFill>
      </x:fill>
    </x:dxf>
    <x:dxf>
      <x:font>
        <x:color rgb="FF17633E"/>
      </x:font>
      <x:fill>
        <x:patternFill patternType="solid">
          <x:bgColor rgb="FFDBF5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56bd0b67a4965" /><Relationship Type="http://schemas.openxmlformats.org/officeDocument/2006/relationships/theme" Target="/xl/theme/theme1.xml" Id="Re300242270404564" /><Relationship Type="http://schemas.openxmlformats.org/officeDocument/2006/relationships/sharedStrings" Target="/xl/sharedStrings.xml" Id="R14559e008ca14491" /><Relationship Type="http://schemas.openxmlformats.org/officeDocument/2006/relationships/worksheet" Target="/xl/worksheets/sheet1.xml" Id="R5c52ec23116246cb" /><Relationship Type="http://schemas.openxmlformats.org/officeDocument/2006/relationships/worksheet" Target="/xl/worksheets/sheet2.xml" Id="R50e5967bd1cd4feb" /><Relationship Type="http://schemas.openxmlformats.org/officeDocument/2006/relationships/worksheet" Target="/xl/worksheets/sheet3.xml" Id="R4799b5e277814843" /><Relationship Type="http://schemas.openxmlformats.org/officeDocument/2006/relationships/worksheet" Target="/xl/worksheets/sheet4.xml" Id="R233041aafc004b2e" /><Relationship Type="http://schemas.openxmlformats.org/officeDocument/2006/relationships/worksheet" Target="/xl/worksheets/sheet5.xml" Id="R849397b20af742cf" /><Relationship Type="http://schemas.openxmlformats.org/officeDocument/2006/relationships/worksheet" Target="/xl/worksheets/sheet6.xml" Id="Ra512cc51590d475a" /><Relationship Type="http://schemas.openxmlformats.org/officeDocument/2006/relationships/worksheet" Target="/xl/worksheets/sheet7.xml" Id="R5a668422a8174785" /><Relationship Type="http://schemas.openxmlformats.org/officeDocument/2006/relationships/worksheet" Target="/xl/worksheets/sheet8.xml" Id="R13338113e7084c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e6694ac5db401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Receitas</c:v>
          </c:tx>
          <c:cat>
            <c:strRef>
              <c:f>'PAINEL'!$B$17:$B$28</c:f>
              <c:strCache>
                <c:ptCount val="0"/>
              </c:strCache>
            </c:strRef>
          </c:cat>
          <c:val>
            <c:numRef>
              <c:f>'PAINEL'!$C$17:$C$28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Despesas</c:v>
          </c:tx>
          <c:cat>
            <c:strRef>
              <c:f>'PAINEL'!$B$17:$B$28</c:f>
              <c:strCache>
                <c:ptCount val="0"/>
              </c:strCache>
            </c:strRef>
          </c:cat>
          <c:val>
            <c:numRef>
              <c:f>'PAINEL'!$D$17:$D$28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e6694ac5db40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5fd5b08a9745c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 ht="38" customHeight="1">
      <x:c r="B2" s="10" t="str">
        <x:v>IR CONTROL  |  Central de organização fiscal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/>
    <x:row r="6" ht="23" customHeight="1">
      <x:c r="B6" t="str">
        <x:v>ANO-CALENDÁRIO</x:v>
      </x:c>
      <x:c r="C6" s="16" t="n">
        <x:v>2025</x:v>
      </x:c>
      <x:c r="E6" t="str">
        <x:v>Situação dos dados</x:v>
      </x:c>
      <x:c r="F6" t="str">
        <x:f>IF(TITULAR!D19="OK","Titular conferido","Revisar titular")</x:f>
        <x:v>Revisar titular</x:v>
      </x:c>
    </x:row>
    <x:row r="7" ht="23" customHeight="1"/>
    <x:row r="8" ht="26" customHeight="1">
      <x:c r="B8" s="21" t="str">
        <x:v>TOTAL DE RECEITAS</x:v>
      </x:c>
      <x:c r="C8" s="21"/>
      <x:c r="D8" s="21"/>
      <x:c r="F8" s="21" t="str">
        <x:v>SALDOS INFORMADOS</x:v>
      </x:c>
      <x:c r="G8" s="21"/>
      <x:c r="H8" s="21"/>
      <x:c r="J8" s="21" t="str">
        <x:v>DOCUMENTOS PENDENTES</x:v>
      </x:c>
      <x:c r="K8" s="21"/>
      <x:c r="L8" s="21"/>
    </x:row>
    <x:row r="9" ht="23" customHeight="1"/>
    <x:row r="10" ht="38" customHeight="1">
      <x:c r="B10" s="26" t="n">
        <x:f>SUMIFS(LANCAMENTOS!$F$7:$F$306,LANCAMENTOS!$B$7:$B$306,"&gt;="&amp;DATE($C$6,1,1),LANCAMENTOS!$B$7:$B$306,"&lt;"&amp;DATE($C$6+1,1,1),LANCAMENTOS!$D$7:$D$306,"Receita")</x:f>
        <x:v>0</x:v>
      </x:c>
      <x:c r="C10" s="27"/>
      <x:c r="D10" s="27"/>
      <x:c r="E10" s="27"/>
      <x:c r="F10" s="26" t="n">
        <x:f>SUM(INFORMES!$E$7:$E$126)</x:f>
        <x:v>0</x:v>
      </x:c>
      <x:c r="G10" s="27"/>
      <x:c r="H10" s="27"/>
      <x:c r="I10" s="27"/>
      <x:c r="J10" s="27" t="n">
        <x:f>COUNTIF(DOCUMENTOS!$F$7:$F$106,"Pendente")</x:f>
        <x:v>0</x:v>
      </x:c>
      <x:c r="K10" s="27"/>
      <x:c r="L10" s="27"/>
    </x:row>
    <x:row r="11" ht="23" customHeight="1"/>
    <x:row r="12" ht="23" customHeight="1"/>
    <x:row r="13" ht="23" customHeight="1"/>
    <x:row r="14" ht="26" customHeight="1">
      <x:c r="B14" s="21" t="str">
        <x:v>MOVIMENTAÇÃO MENSAL NO ANO SELECIONADO</x:v>
      </x:c>
      <x:c r="C14" s="21"/>
      <x:c r="D14" s="21"/>
      <x:c r="E14" s="21"/>
      <x:c r="F14" s="21"/>
      <x:c r="G14" s="21"/>
      <x:c r="H14" s="21"/>
    </x:row>
    <x:row r="15" ht="23" customHeight="1"/>
    <x:row r="16" ht="29" customHeight="1">
      <x:c r="B16" s="32" t="str">
        <x:v>MÊS</x:v>
      </x:c>
      <x:c r="C16" s="32" t="str">
        <x:v>RECEITAS</x:v>
      </x:c>
      <x:c r="D16" s="32" t="str">
        <x:v>DESPESAS</x:v>
      </x:c>
    </x:row>
    <x:row r="17" ht="23" customHeight="1">
      <x:c r="B17" t="str">
        <x:v>Jan</x:v>
      </x:c>
      <x:c r="C17" s="24" t="n">
        <x:f>SUMIFS(LANCAMENTOS!$F$7:$F$306,LANCAMENTOS!$B$7:$B$306,"&gt;="&amp;DATE($C$6,ROW()-16,1),LANCAMENTOS!$B$7:$B$306,"&lt;"&amp;EDATE(DATE($C$6,ROW()-16,1),1),LANCAMENTOS!$D$7:$D$306,"Receita")</x:f>
        <x:v>0</x:v>
      </x:c>
      <x:c r="D17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18" ht="23" customHeight="1">
      <x:c r="B18" t="str">
        <x:v>Fev</x:v>
      </x:c>
      <x:c r="C18" s="24" t="n">
        <x:f>SUMIFS(LANCAMENTOS!$F$7:$F$306,LANCAMENTOS!$B$7:$B$306,"&gt;="&amp;DATE($C$6,ROW()-16,1),LANCAMENTOS!$B$7:$B$306,"&lt;"&amp;EDATE(DATE($C$6,ROW()-16,1),1),LANCAMENTOS!$D$7:$D$306,"Receita")</x:f>
        <x:v>0</x:v>
      </x:c>
      <x:c r="D18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19" ht="23" customHeight="1">
      <x:c r="B19" t="str">
        <x:v>Mar</x:v>
      </x:c>
      <x:c r="C19" s="24" t="n">
        <x:f>SUMIFS(LANCAMENTOS!$F$7:$F$306,LANCAMENTOS!$B$7:$B$306,"&gt;="&amp;DATE($C$6,ROW()-16,1),LANCAMENTOS!$B$7:$B$306,"&lt;"&amp;EDATE(DATE($C$6,ROW()-16,1),1),LANCAMENTOS!$D$7:$D$306,"Receita")</x:f>
        <x:v>0</x:v>
      </x:c>
      <x:c r="D19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0" ht="23" customHeight="1">
      <x:c r="B20" t="str">
        <x:v>Abr</x:v>
      </x:c>
      <x:c r="C20" s="24" t="n">
        <x:f>SUMIFS(LANCAMENTOS!$F$7:$F$306,LANCAMENTOS!$B$7:$B$306,"&gt;="&amp;DATE($C$6,ROW()-16,1),LANCAMENTOS!$B$7:$B$306,"&lt;"&amp;EDATE(DATE($C$6,ROW()-16,1),1),LANCAMENTOS!$D$7:$D$306,"Receita")</x:f>
        <x:v>0</x:v>
      </x:c>
      <x:c r="D20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1" ht="23" customHeight="1">
      <x:c r="B21" t="str">
        <x:v>Mai</x:v>
      </x:c>
      <x:c r="C21" s="24" t="n">
        <x:f>SUMIFS(LANCAMENTOS!$F$7:$F$306,LANCAMENTOS!$B$7:$B$306,"&gt;="&amp;DATE($C$6,ROW()-16,1),LANCAMENTOS!$B$7:$B$306,"&lt;"&amp;EDATE(DATE($C$6,ROW()-16,1),1),LANCAMENTOS!$D$7:$D$306,"Receita")</x:f>
        <x:v>0</x:v>
      </x:c>
      <x:c r="D21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2" ht="23" customHeight="1">
      <x:c r="B22" t="str">
        <x:v>Jun</x:v>
      </x:c>
      <x:c r="C22" s="24" t="n">
        <x:f>SUMIFS(LANCAMENTOS!$F$7:$F$306,LANCAMENTOS!$B$7:$B$306,"&gt;="&amp;DATE($C$6,ROW()-16,1),LANCAMENTOS!$B$7:$B$306,"&lt;"&amp;EDATE(DATE($C$6,ROW()-16,1),1),LANCAMENTOS!$D$7:$D$306,"Receita")</x:f>
        <x:v>0</x:v>
      </x:c>
      <x:c r="D22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3" ht="23" customHeight="1">
      <x:c r="B23" t="str">
        <x:v>Jul</x:v>
      </x:c>
      <x:c r="C23" s="24" t="n">
        <x:f>SUMIFS(LANCAMENTOS!$F$7:$F$306,LANCAMENTOS!$B$7:$B$306,"&gt;="&amp;DATE($C$6,ROW()-16,1),LANCAMENTOS!$B$7:$B$306,"&lt;"&amp;EDATE(DATE($C$6,ROW()-16,1),1),LANCAMENTOS!$D$7:$D$306,"Receita")</x:f>
        <x:v>0</x:v>
      </x:c>
      <x:c r="D23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4" ht="23" customHeight="1">
      <x:c r="B24" t="str">
        <x:v>Ago</x:v>
      </x:c>
      <x:c r="C24" s="24" t="n">
        <x:f>SUMIFS(LANCAMENTOS!$F$7:$F$306,LANCAMENTOS!$B$7:$B$306,"&gt;="&amp;DATE($C$6,ROW()-16,1),LANCAMENTOS!$B$7:$B$306,"&lt;"&amp;EDATE(DATE($C$6,ROW()-16,1),1),LANCAMENTOS!$D$7:$D$306,"Receita")</x:f>
        <x:v>0</x:v>
      </x:c>
      <x:c r="D24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5" ht="23" customHeight="1">
      <x:c r="B25" t="str">
        <x:v>Set</x:v>
      </x:c>
      <x:c r="C25" s="24" t="n">
        <x:f>SUMIFS(LANCAMENTOS!$F$7:$F$306,LANCAMENTOS!$B$7:$B$306,"&gt;="&amp;DATE($C$6,ROW()-16,1),LANCAMENTOS!$B$7:$B$306,"&lt;"&amp;EDATE(DATE($C$6,ROW()-16,1),1),LANCAMENTOS!$D$7:$D$306,"Receita")</x:f>
        <x:v>0</x:v>
      </x:c>
      <x:c r="D25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6" ht="23" customHeight="1">
      <x:c r="B26" t="str">
        <x:v>Out</x:v>
      </x:c>
      <x:c r="C26" s="24" t="n">
        <x:f>SUMIFS(LANCAMENTOS!$F$7:$F$306,LANCAMENTOS!$B$7:$B$306,"&gt;="&amp;DATE($C$6,ROW()-16,1),LANCAMENTOS!$B$7:$B$306,"&lt;"&amp;EDATE(DATE($C$6,ROW()-16,1),1),LANCAMENTOS!$D$7:$D$306,"Receita")</x:f>
        <x:v>0</x:v>
      </x:c>
      <x:c r="D26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7" ht="23" customHeight="1">
      <x:c r="B27" t="str">
        <x:v>Nov</x:v>
      </x:c>
      <x:c r="C27" s="24" t="n">
        <x:f>SUMIFS(LANCAMENTOS!$F$7:$F$306,LANCAMENTOS!$B$7:$B$306,"&gt;="&amp;DATE($C$6,ROW()-16,1),LANCAMENTOS!$B$7:$B$306,"&lt;"&amp;EDATE(DATE($C$6,ROW()-16,1),1),LANCAMENTOS!$D$7:$D$306,"Receita")</x:f>
        <x:v>0</x:v>
      </x:c>
      <x:c r="D27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8" ht="23" customHeight="1">
      <x:c r="B28" t="str">
        <x:v>Dez</x:v>
      </x:c>
      <x:c r="C28" s="24" t="n">
        <x:f>SUMIFS(LANCAMENTOS!$F$7:$F$306,LANCAMENTOS!$B$7:$B$306,"&gt;="&amp;DATE($C$6,ROW()-16,1),LANCAMENTOS!$B$7:$B$306,"&lt;"&amp;EDATE(DATE($C$6,ROW()-16,1),1),LANCAMENTOS!$D$7:$D$306,"Receita")</x:f>
        <x:v>0</x:v>
      </x:c>
      <x:c r="D28" s="24" t="n">
        <x:f>SUMIFS(LANCAMENTOS!$F$7:$F$306,LANCAMENTOS!$B$7:$B$306,"&gt;="&amp;DATE($C$6,ROW()-16,1),LANCAMENTOS!$B$7:$B$306,"&lt;"&amp;EDATE(DATE($C$6,ROW()-16,1),1),LANCAMENTOS!$D$7:$D$306,"Despesa")</x:f>
        <x:v>0</x:v>
      </x:c>
    </x:row>
    <x:row r="29" ht="23" customHeight="1"/>
    <x:row r="30" ht="23" customHeight="1"/>
    <x:row r="31" ht="25" customHeight="1">
      <x:c r="B31" s="38" t="str">
        <x:v>Comece em TITULAR → INFORMES → LANÇAMENTOS → DOCUMENTOS. Não substitui a declaração oficial.</x:v>
      </x:c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</x:row>
    <x:row r="32" ht="25" customHeight="1"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</x:row>
    <x:row r="33" ht="23" customHeight="1"/>
    <x:row r="34" ht="23" customHeight="1"/>
    <x:row r="35" ht="23" customHeight="1"/>
    <x:row r="36" ht="23" customHeight="1"/>
    <x:row r="37" ht="23" customHeight="1"/>
    <x:row r="38" ht="23" customHeight="1"/>
    <x:row r="39" ht="23" customHeight="1"/>
    <x:row r="40" ht="23" customHeight="1"/>
    <x:row r="41" ht="23" customHeight="1"/>
    <x:row r="42" ht="23" customHeight="1"/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  <x:row r="51" ht="23" customHeight="1"/>
    <x:row r="52" ht="23" customHeight="1"/>
    <x:row r="53" ht="23" customHeight="1"/>
    <x:row r="54" ht="23" customHeight="1"/>
    <x:row r="55" ht="23" customHeight="1"/>
    <x:row r="56" ht="23" customHeight="1"/>
    <x:row r="57" ht="23" customHeight="1"/>
    <x:row r="58" ht="23" customHeight="1"/>
    <x:row r="59" ht="23" customHeight="1"/>
    <x:row r="60" ht="23" customHeight="1"/>
  </x:sheetData>
  <x:mergeCells>
    <x:mergeCell ref="B2:M3"/>
    <x:mergeCell ref="B8:D8"/>
    <x:mergeCell ref="F8:H8"/>
    <x:mergeCell ref="J8:L8"/>
    <x:mergeCell ref="B14:H14"/>
    <x:mergeCell ref="B31:M32"/>
  </x:mergeCells>
  <x:dataValidations count="1">
    <x:dataValidation type="whole" operator="between" sqref="C6">
      <x:formula1>2000</x:formula1>
      <x:formula2>2100</x:formula2>
    </x:dataValidation>
  </x:dataValidations>
  <x:pageMargins left="0.7" right="0.7" top="0.75" bottom="0.75" header="0.3" footer="0.3"/>
  <x:drawing xmlns:r="http://schemas.openxmlformats.org/officeDocument/2006/relationships" r:id="Rc95fd5b08a9745cc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6" hidden="0" customWidth="1"/>
    <x:col min="3" max="3" width="17" hidden="0" customWidth="1"/>
    <x:col min="4" max="4" width="4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01  |  Identificação do titular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6" customHeight="1">
      <x:c r="B5" s="21" t="str">
        <x:v>PREENCHA APENAS OS CAMPOS EM AZUL CLARO</x:v>
      </x:c>
      <x:c r="C5" s="21"/>
      <x:c r="D5" s="21"/>
      <x:c r="E5" s="21"/>
      <x:c r="F5" s="21"/>
      <x:c r="G5" s="21"/>
      <x:c r="H5" s="21"/>
      <x:c r="I5" s="21"/>
      <x:c r="J5" s="21"/>
    </x:row>
    <x:row r="6" ht="23" customHeight="1"/>
    <x:row r="7" ht="23" customHeight="1">
      <x:c r="B7" t="str">
        <x:v>Nome completo</x:v>
      </x:c>
      <x:c r="D7" s="37"/>
    </x:row>
    <x:row r="8" ht="23" customHeight="1">
      <x:c r="B8" t="str">
        <x:v>CPF (11 dígitos, sem pontuação)</x:v>
      </x:c>
      <x:c r="D8" s="42"/>
    </x:row>
    <x:row r="9" ht="23" customHeight="1">
      <x:c r="B9" t="str">
        <x:v>Data de nascimento</x:v>
      </x:c>
      <x:c r="D9" s="44"/>
    </x:row>
    <x:row r="10" ht="23" customHeight="1">
      <x:c r="B10" t="str">
        <x:v>Título de eleitor</x:v>
      </x:c>
      <x:c r="D10" s="42"/>
    </x:row>
    <x:row r="11" ht="23" customHeight="1">
      <x:c r="B11" t="str">
        <x:v>E-mail</x:v>
      </x:c>
      <x:c r="D11" s="37"/>
    </x:row>
    <x:row r="12" ht="23" customHeight="1">
      <x:c r="B12" t="str">
        <x:v>Telefone</x:v>
      </x:c>
      <x:c r="D12" s="37"/>
    </x:row>
    <x:row r="13" ht="23" customHeight="1">
      <x:c r="B13" t="str">
        <x:v>Logradouro e número</x:v>
      </x:c>
      <x:c r="D13" s="37"/>
    </x:row>
    <x:row r="14" ht="23" customHeight="1">
      <x:c r="B14" t="str">
        <x:v>Cidade</x:v>
      </x:c>
      <x:c r="D14" s="37"/>
    </x:row>
    <x:row r="15" ht="23" customHeight="1">
      <x:c r="B15" t="str">
        <x:v>UF</x:v>
      </x:c>
      <x:c r="D15" s="37"/>
    </x:row>
    <x:row r="16" ht="23" customHeight="1">
      <x:c r="B16" t="str">
        <x:v>CEP (8 dígitos)</x:v>
      </x:c>
      <x:c r="D16" s="42"/>
    </x:row>
    <x:row r="17" ht="23" customHeight="1">
      <x:c r="B17" t="str">
        <x:v>Nome do cônjuge (se aplicável)</x:v>
      </x:c>
      <x:c r="D17" s="37"/>
    </x:row>
    <x:row r="18" ht="23" customHeight="1"/>
    <x:row r="19" ht="23" customHeight="1">
      <x:c r="B19" t="str">
        <x:v>CONFERÊNCIA</x:v>
      </x:c>
      <x:c r="D19" t="str">
        <x:f>IF(AND(D7&lt;&gt;"",LEN(D8)=11,ISNUMBER(IFERROR(VALUE(D8),"")),D9&lt;&gt;"",D14&lt;&gt;"",D15&lt;&gt;"",LEN(D16)=8),"OK","PENDENTE")</x:f>
        <x:v>PENDENTE</x:v>
      </x:c>
    </x:row>
    <x:row r="20" ht="23" customHeight="1"/>
    <x:row r="21" ht="23" customHeight="1">
      <x:c r="B21" s="46" t="str">
        <x:v>Validação de CPF: comprimento e caracteres numéricos; não verifica os dígitos verificadores.</x:v>
      </x:c>
      <x:c r="C21" s="46"/>
      <x:c r="D21" s="46"/>
      <x:c r="E21" s="46"/>
      <x:c r="F21" s="46"/>
      <x:c r="G21" s="46"/>
      <x:c r="H21" s="46"/>
      <x:c r="I21" s="46"/>
      <x:c r="J21" s="46"/>
    </x:row>
    <x:row r="22" ht="23" customHeight="1">
      <x:c r="B22" s="46"/>
      <x:c r="C22" s="46"/>
      <x:c r="D22" s="46"/>
      <x:c r="E22" s="46"/>
      <x:c r="F22" s="46"/>
      <x:c r="G22" s="46"/>
      <x:c r="H22" s="46"/>
      <x:c r="I22" s="46"/>
      <x:c r="J22" s="46"/>
    </x:row>
    <x:row r="23" ht="23" customHeight="1"/>
    <x:row r="24" ht="23" customHeight="1"/>
    <x:row r="25" ht="23" customHeight="1"/>
    <x:row r="26" ht="23" customHeight="1"/>
    <x:row r="27" ht="23" customHeight="1"/>
    <x:row r="28" ht="23" customHeight="1"/>
    <x:row r="29" ht="23" customHeight="1"/>
    <x:row r="30" ht="23" customHeight="1"/>
    <x:row r="31" ht="23" customHeight="1"/>
    <x:row r="32" ht="23" customHeight="1"/>
    <x:row r="33" ht="23" customHeight="1"/>
    <x:row r="34" ht="23" customHeight="1"/>
    <x:row r="35" ht="23" customHeight="1"/>
    <x:row r="36" ht="23" customHeight="1"/>
    <x:row r="37" ht="23" customHeight="1"/>
    <x:row r="38" ht="23" customHeight="1"/>
    <x:row r="39" ht="23" customHeight="1"/>
    <x:row r="40" ht="23" customHeight="1"/>
    <x:row r="41" ht="23" customHeight="1"/>
    <x:row r="42" ht="23" customHeight="1"/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  <x:row r="51" ht="23" customHeight="1"/>
    <x:row r="52" ht="23" customHeight="1"/>
    <x:row r="53" ht="23" customHeight="1"/>
    <x:row r="54" ht="23" customHeight="1"/>
    <x:row r="55" ht="23" customHeight="1"/>
    <x:row r="56" ht="23" customHeight="1"/>
    <x:row r="57" ht="23" customHeight="1"/>
    <x:row r="58" ht="23" customHeight="1"/>
    <x:row r="59" ht="23" customHeight="1"/>
    <x:row r="60" ht="23" customHeight="1"/>
  </x:sheetData>
  <x:mergeCells>
    <x:mergeCell ref="B2:J3"/>
    <x:mergeCell ref="B5:J5"/>
    <x:mergeCell ref="B21:J22"/>
  </x:mergeCells>
  <x:conditionalFormatting sqref="D19:D19">
    <x:cfRule type="expression" dxfId="0" priority="1">
      <x:formula>D19="PENDENTE"</x:formula>
    </x:cfRule>
  </x:conditionalFormatting>
  <x:dataValidations count="1">
    <x:dataValidation type="list" sqref="D15">
      <x:formula1>LISTAS!$E$3:$E$29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1" hidden="0" customWidth="1"/>
    <x:col min="3" max="3" width="21" hidden="0" customWidth="1"/>
    <x:col min="4" max="4" width="24" hidden="0" customWidth="1"/>
    <x:col min="5" max="5" width="20" hidden="0" customWidth="1"/>
    <x:col min="6" max="6" width="17" hidden="0" customWidth="1"/>
    <x:col min="7" max="7" width="35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02  |  Saldos e informes das instituições financeiras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>
      <x:c r="B5" t="str">
        <x:v>Informe cada conta/instituição; use os valores e documentos do ano-calendário correto.</x:v>
      </x:c>
    </x:row>
    <x:row r="6" ht="29" customHeight="1">
      <x:c r="B6" s="32" t="str">
        <x:v>INSTITUIÇÃO</x:v>
      </x:c>
      <x:c r="C6" s="32" t="str">
        <x:v>TIPO DE CONTA</x:v>
      </x:c>
      <x:c r="D6" s="32" t="str">
        <x:v>IDENTIFICAÇÃO</x:v>
      </x:c>
      <x:c r="E6" s="32" t="str">
        <x:v>SALDO / VALOR (R$)</x:v>
      </x:c>
      <x:c r="F6" s="32" t="str">
        <x:v>ANO</x:v>
      </x:c>
      <x:c r="G6" s="32" t="str">
        <x:v>COMPROVANTE</x:v>
      </x:c>
      <x:c r="H6" s="32" t="str">
        <x:v>CONFERÊNCIA</x:v>
      </x:c>
    </x:row>
    <x:row r="7" ht="23" customHeight="1">
      <x:c r="B7" s="36"/>
      <x:c r="C7" s="36"/>
      <x:c r="D7" s="36"/>
      <x:c r="E7" s="48"/>
      <x:c r="F7" s="36"/>
      <x:c r="G7" s="36"/>
      <x:c r="H7" t="str">
        <x:f>IF(COUNTA(B7:G7)=0,"",IF(AND(B7&lt;&gt;"",E7&lt;&gt;"",F7&lt;&gt;"",G7&lt;&gt;""),"OK","PENDENTE"))</x:f>
      </x:c>
    </x:row>
    <x:row r="8" ht="23" customHeight="1">
      <x:c r="B8" s="36"/>
      <x:c r="C8" s="36"/>
      <x:c r="D8" s="36"/>
      <x:c r="E8" s="48"/>
      <x:c r="F8" s="36"/>
      <x:c r="G8" s="36"/>
      <x:c r="H8" t="str">
        <x:f>IF(COUNTA(B8:G8)=0,"",IF(AND(B8&lt;&gt;"",E8&lt;&gt;"",F8&lt;&gt;"",G8&lt;&gt;""),"OK","PENDENTE"))</x:f>
      </x:c>
    </x:row>
    <x:row r="9" ht="23" customHeight="1">
      <x:c r="B9" s="36"/>
      <x:c r="C9" s="36"/>
      <x:c r="D9" s="36"/>
      <x:c r="E9" s="48"/>
      <x:c r="F9" s="36"/>
      <x:c r="G9" s="36"/>
      <x:c r="H9" t="str">
        <x:f>IF(COUNTA(B9:G9)=0,"",IF(AND(B9&lt;&gt;"",E9&lt;&gt;"",F9&lt;&gt;"",G9&lt;&gt;""),"OK","PENDENTE"))</x:f>
      </x:c>
    </x:row>
    <x:row r="10" ht="23" customHeight="1">
      <x:c r="B10" s="36"/>
      <x:c r="C10" s="36"/>
      <x:c r="D10" s="36"/>
      <x:c r="E10" s="48"/>
      <x:c r="F10" s="36"/>
      <x:c r="G10" s="36"/>
      <x:c r="H10" t="str">
        <x:f>IF(COUNTA(B10:G10)=0,"",IF(AND(B10&lt;&gt;"",E10&lt;&gt;"",F10&lt;&gt;"",G10&lt;&gt;""),"OK","PENDENTE"))</x:f>
      </x:c>
    </x:row>
    <x:row r="11" ht="23" customHeight="1">
      <x:c r="B11" s="36"/>
      <x:c r="C11" s="36"/>
      <x:c r="D11" s="36"/>
      <x:c r="E11" s="48"/>
      <x:c r="F11" s="36"/>
      <x:c r="G11" s="36"/>
      <x:c r="H11" t="str">
        <x:f>IF(COUNTA(B11:G11)=0,"",IF(AND(B11&lt;&gt;"",E11&lt;&gt;"",F11&lt;&gt;"",G11&lt;&gt;""),"OK","PENDENTE"))</x:f>
      </x:c>
    </x:row>
    <x:row r="12" ht="23" customHeight="1">
      <x:c r="B12" s="36"/>
      <x:c r="C12" s="36"/>
      <x:c r="D12" s="36"/>
      <x:c r="E12" s="48"/>
      <x:c r="F12" s="36"/>
      <x:c r="G12" s="36"/>
      <x:c r="H12" t="str">
        <x:f>IF(COUNTA(B12:G12)=0,"",IF(AND(B12&lt;&gt;"",E12&lt;&gt;"",F12&lt;&gt;"",G12&lt;&gt;""),"OK","PENDENTE"))</x:f>
      </x:c>
    </x:row>
    <x:row r="13" ht="23" customHeight="1">
      <x:c r="B13" s="36"/>
      <x:c r="C13" s="36"/>
      <x:c r="D13" s="36"/>
      <x:c r="E13" s="48"/>
      <x:c r="F13" s="36"/>
      <x:c r="G13" s="36"/>
      <x:c r="H13" t="str">
        <x:f>IF(COUNTA(B13:G13)=0,"",IF(AND(B13&lt;&gt;"",E13&lt;&gt;"",F13&lt;&gt;"",G13&lt;&gt;""),"OK","PENDENTE"))</x:f>
      </x:c>
    </x:row>
    <x:row r="14" ht="23" customHeight="1">
      <x:c r="B14" s="36"/>
      <x:c r="C14" s="36"/>
      <x:c r="D14" s="36"/>
      <x:c r="E14" s="48"/>
      <x:c r="F14" s="36"/>
      <x:c r="G14" s="36"/>
      <x:c r="H14" t="str">
        <x:f>IF(COUNTA(B14:G14)=0,"",IF(AND(B14&lt;&gt;"",E14&lt;&gt;"",F14&lt;&gt;"",G14&lt;&gt;""),"OK","PENDENTE"))</x:f>
      </x:c>
    </x:row>
    <x:row r="15" ht="23" customHeight="1">
      <x:c r="B15" s="36"/>
      <x:c r="C15" s="36"/>
      <x:c r="D15" s="36"/>
      <x:c r="E15" s="48"/>
      <x:c r="F15" s="36"/>
      <x:c r="G15" s="36"/>
      <x:c r="H15" t="str">
        <x:f>IF(COUNTA(B15:G15)=0,"",IF(AND(B15&lt;&gt;"",E15&lt;&gt;"",F15&lt;&gt;"",G15&lt;&gt;""),"OK","PENDENTE"))</x:f>
      </x:c>
    </x:row>
    <x:row r="16" ht="23" customHeight="1">
      <x:c r="B16" s="36"/>
      <x:c r="C16" s="36"/>
      <x:c r="D16" s="36"/>
      <x:c r="E16" s="48"/>
      <x:c r="F16" s="36"/>
      <x:c r="G16" s="36"/>
      <x:c r="H16" t="str">
        <x:f>IF(COUNTA(B16:G16)=0,"",IF(AND(B16&lt;&gt;"",E16&lt;&gt;"",F16&lt;&gt;"",G16&lt;&gt;""),"OK","PENDENTE"))</x:f>
      </x:c>
    </x:row>
    <x:row r="17" ht="23" customHeight="1">
      <x:c r="B17" s="36"/>
      <x:c r="C17" s="36"/>
      <x:c r="D17" s="36"/>
      <x:c r="E17" s="48"/>
      <x:c r="F17" s="36"/>
      <x:c r="G17" s="36"/>
      <x:c r="H17" t="str">
        <x:f>IF(COUNTA(B17:G17)=0,"",IF(AND(B17&lt;&gt;"",E17&lt;&gt;"",F17&lt;&gt;"",G17&lt;&gt;""),"OK","PENDENTE"))</x:f>
      </x:c>
    </x:row>
    <x:row r="18" ht="23" customHeight="1">
      <x:c r="B18" s="36"/>
      <x:c r="C18" s="36"/>
      <x:c r="D18" s="36"/>
      <x:c r="E18" s="48"/>
      <x:c r="F18" s="36"/>
      <x:c r="G18" s="36"/>
      <x:c r="H18" t="str">
        <x:f>IF(COUNTA(B18:G18)=0,"",IF(AND(B18&lt;&gt;"",E18&lt;&gt;"",F18&lt;&gt;"",G18&lt;&gt;""),"OK","PENDENTE"))</x:f>
      </x:c>
    </x:row>
    <x:row r="19" ht="23" customHeight="1">
      <x:c r="B19" s="36"/>
      <x:c r="C19" s="36"/>
      <x:c r="D19" s="36"/>
      <x:c r="E19" s="48"/>
      <x:c r="F19" s="36"/>
      <x:c r="G19" s="36"/>
      <x:c r="H19" t="str">
        <x:f>IF(COUNTA(B19:G19)=0,"",IF(AND(B19&lt;&gt;"",E19&lt;&gt;"",F19&lt;&gt;"",G19&lt;&gt;""),"OK","PENDENTE"))</x:f>
      </x:c>
    </x:row>
    <x:row r="20" ht="23" customHeight="1">
      <x:c r="B20" s="36"/>
      <x:c r="C20" s="36"/>
      <x:c r="D20" s="36"/>
      <x:c r="E20" s="48"/>
      <x:c r="F20" s="36"/>
      <x:c r="G20" s="36"/>
      <x:c r="H20" t="str">
        <x:f>IF(COUNTA(B20:G20)=0,"",IF(AND(B20&lt;&gt;"",E20&lt;&gt;"",F20&lt;&gt;"",G20&lt;&gt;""),"OK","PENDENTE"))</x:f>
      </x:c>
    </x:row>
    <x:row r="21" ht="23" customHeight="1">
      <x:c r="B21" s="36"/>
      <x:c r="C21" s="36"/>
      <x:c r="D21" s="36"/>
      <x:c r="E21" s="48"/>
      <x:c r="F21" s="36"/>
      <x:c r="G21" s="36"/>
      <x:c r="H21" t="str">
        <x:f>IF(COUNTA(B21:G21)=0,"",IF(AND(B21&lt;&gt;"",E21&lt;&gt;"",F21&lt;&gt;"",G21&lt;&gt;""),"OK","PENDENTE"))</x:f>
      </x:c>
    </x:row>
    <x:row r="22" ht="23" customHeight="1">
      <x:c r="B22" s="36"/>
      <x:c r="C22" s="36"/>
      <x:c r="D22" s="36"/>
      <x:c r="E22" s="48"/>
      <x:c r="F22" s="36"/>
      <x:c r="G22" s="36"/>
      <x:c r="H22" t="str">
        <x:f>IF(COUNTA(B22:G22)=0,"",IF(AND(B22&lt;&gt;"",E22&lt;&gt;"",F22&lt;&gt;"",G22&lt;&gt;""),"OK","PENDENTE"))</x:f>
      </x:c>
    </x:row>
    <x:row r="23" ht="23" customHeight="1">
      <x:c r="B23" s="36"/>
      <x:c r="C23" s="36"/>
      <x:c r="D23" s="36"/>
      <x:c r="E23" s="48"/>
      <x:c r="F23" s="36"/>
      <x:c r="G23" s="36"/>
      <x:c r="H23" t="str">
        <x:f>IF(COUNTA(B23:G23)=0,"",IF(AND(B23&lt;&gt;"",E23&lt;&gt;"",F23&lt;&gt;"",G23&lt;&gt;""),"OK","PENDENTE"))</x:f>
      </x:c>
    </x:row>
    <x:row r="24" ht="23" customHeight="1">
      <x:c r="B24" s="36"/>
      <x:c r="C24" s="36"/>
      <x:c r="D24" s="36"/>
      <x:c r="E24" s="48"/>
      <x:c r="F24" s="36"/>
      <x:c r="G24" s="36"/>
      <x:c r="H24" t="str">
        <x:f>IF(COUNTA(B24:G24)=0,"",IF(AND(B24&lt;&gt;"",E24&lt;&gt;"",F24&lt;&gt;"",G24&lt;&gt;""),"OK","PENDENTE"))</x:f>
      </x:c>
    </x:row>
    <x:row r="25" ht="23" customHeight="1">
      <x:c r="B25" s="36"/>
      <x:c r="C25" s="36"/>
      <x:c r="D25" s="36"/>
      <x:c r="E25" s="48"/>
      <x:c r="F25" s="36"/>
      <x:c r="G25" s="36"/>
      <x:c r="H25" t="str">
        <x:f>IF(COUNTA(B25:G25)=0,"",IF(AND(B25&lt;&gt;"",E25&lt;&gt;"",F25&lt;&gt;"",G25&lt;&gt;""),"OK","PENDENTE"))</x:f>
      </x:c>
    </x:row>
    <x:row r="26" ht="23" customHeight="1">
      <x:c r="B26" s="36"/>
      <x:c r="C26" s="36"/>
      <x:c r="D26" s="36"/>
      <x:c r="E26" s="48"/>
      <x:c r="F26" s="36"/>
      <x:c r="G26" s="36"/>
      <x:c r="H26" t="str">
        <x:f>IF(COUNTA(B26:G26)=0,"",IF(AND(B26&lt;&gt;"",E26&lt;&gt;"",F26&lt;&gt;"",G26&lt;&gt;""),"OK","PENDENTE"))</x:f>
      </x:c>
    </x:row>
    <x:row r="27" ht="23" customHeight="1">
      <x:c r="B27" s="36"/>
      <x:c r="C27" s="36"/>
      <x:c r="D27" s="36"/>
      <x:c r="E27" s="48"/>
      <x:c r="F27" s="36"/>
      <x:c r="G27" s="36"/>
      <x:c r="H27" t="str">
        <x:f>IF(COUNTA(B27:G27)=0,"",IF(AND(B27&lt;&gt;"",E27&lt;&gt;"",F27&lt;&gt;"",G27&lt;&gt;""),"OK","PENDENTE"))</x:f>
      </x:c>
    </x:row>
    <x:row r="28" ht="23" customHeight="1">
      <x:c r="B28" s="36"/>
      <x:c r="C28" s="36"/>
      <x:c r="D28" s="36"/>
      <x:c r="E28" s="48"/>
      <x:c r="F28" s="36"/>
      <x:c r="G28" s="36"/>
      <x:c r="H28" t="str">
        <x:f>IF(COUNTA(B28:G28)=0,"",IF(AND(B28&lt;&gt;"",E28&lt;&gt;"",F28&lt;&gt;"",G28&lt;&gt;""),"OK","PENDENTE"))</x:f>
      </x:c>
    </x:row>
    <x:row r="29" ht="23" customHeight="1">
      <x:c r="B29" s="36"/>
      <x:c r="C29" s="36"/>
      <x:c r="D29" s="36"/>
      <x:c r="E29" s="48"/>
      <x:c r="F29" s="36"/>
      <x:c r="G29" s="36"/>
      <x:c r="H29" t="str">
        <x:f>IF(COUNTA(B29:G29)=0,"",IF(AND(B29&lt;&gt;"",E29&lt;&gt;"",F29&lt;&gt;"",G29&lt;&gt;""),"OK","PENDENTE"))</x:f>
      </x:c>
    </x:row>
    <x:row r="30" ht="23" customHeight="1">
      <x:c r="B30" s="36"/>
      <x:c r="C30" s="36"/>
      <x:c r="D30" s="36"/>
      <x:c r="E30" s="48"/>
      <x:c r="F30" s="36"/>
      <x:c r="G30" s="36"/>
      <x:c r="H30" t="str">
        <x:f>IF(COUNTA(B30:G30)=0,"",IF(AND(B30&lt;&gt;"",E30&lt;&gt;"",F30&lt;&gt;"",G30&lt;&gt;""),"OK","PENDENTE"))</x:f>
      </x:c>
    </x:row>
    <x:row r="31" ht="23" customHeight="1">
      <x:c r="B31" s="36"/>
      <x:c r="C31" s="36"/>
      <x:c r="D31" s="36"/>
      <x:c r="E31" s="48"/>
      <x:c r="F31" s="36"/>
      <x:c r="G31" s="36"/>
      <x:c r="H31" t="str">
        <x:f>IF(COUNTA(B31:G31)=0,"",IF(AND(B31&lt;&gt;"",E31&lt;&gt;"",F31&lt;&gt;"",G31&lt;&gt;""),"OK","PENDENTE"))</x:f>
      </x:c>
    </x:row>
    <x:row r="32" ht="23" customHeight="1">
      <x:c r="B32" s="36"/>
      <x:c r="C32" s="36"/>
      <x:c r="D32" s="36"/>
      <x:c r="E32" s="48"/>
      <x:c r="F32" s="36"/>
      <x:c r="G32" s="36"/>
      <x:c r="H32" t="str">
        <x:f>IF(COUNTA(B32:G32)=0,"",IF(AND(B32&lt;&gt;"",E32&lt;&gt;"",F32&lt;&gt;"",G32&lt;&gt;""),"OK","PENDENTE"))</x:f>
      </x:c>
    </x:row>
    <x:row r="33" ht="23" customHeight="1">
      <x:c r="B33" s="36"/>
      <x:c r="C33" s="36"/>
      <x:c r="D33" s="36"/>
      <x:c r="E33" s="48"/>
      <x:c r="F33" s="36"/>
      <x:c r="G33" s="36"/>
      <x:c r="H33" t="str">
        <x:f>IF(COUNTA(B33:G33)=0,"",IF(AND(B33&lt;&gt;"",E33&lt;&gt;"",F33&lt;&gt;"",G33&lt;&gt;""),"OK","PENDENTE"))</x:f>
      </x:c>
    </x:row>
    <x:row r="34" ht="23" customHeight="1">
      <x:c r="B34" s="36"/>
      <x:c r="C34" s="36"/>
      <x:c r="D34" s="36"/>
      <x:c r="E34" s="48"/>
      <x:c r="F34" s="36"/>
      <x:c r="G34" s="36"/>
      <x:c r="H34" t="str">
        <x:f>IF(COUNTA(B34:G34)=0,"",IF(AND(B34&lt;&gt;"",E34&lt;&gt;"",F34&lt;&gt;"",G34&lt;&gt;""),"OK","PENDENTE"))</x:f>
      </x:c>
    </x:row>
    <x:row r="35" ht="23" customHeight="1">
      <x:c r="B35" s="36"/>
      <x:c r="C35" s="36"/>
      <x:c r="D35" s="36"/>
      <x:c r="E35" s="48"/>
      <x:c r="F35" s="36"/>
      <x:c r="G35" s="36"/>
      <x:c r="H35" t="str">
        <x:f>IF(COUNTA(B35:G35)=0,"",IF(AND(B35&lt;&gt;"",E35&lt;&gt;"",F35&lt;&gt;"",G35&lt;&gt;""),"OK","PENDENTE"))</x:f>
      </x:c>
    </x:row>
    <x:row r="36" ht="23" customHeight="1">
      <x:c r="B36" s="36"/>
      <x:c r="C36" s="36"/>
      <x:c r="D36" s="36"/>
      <x:c r="E36" s="48"/>
      <x:c r="F36" s="36"/>
      <x:c r="G36" s="36"/>
      <x:c r="H36" t="str">
        <x:f>IF(COUNTA(B36:G36)=0,"",IF(AND(B36&lt;&gt;"",E36&lt;&gt;"",F36&lt;&gt;"",G36&lt;&gt;""),"OK","PENDENTE"))</x:f>
      </x:c>
    </x:row>
    <x:row r="37" ht="23" customHeight="1">
      <x:c r="B37" s="36"/>
      <x:c r="C37" s="36"/>
      <x:c r="D37" s="36"/>
      <x:c r="E37" s="48"/>
      <x:c r="F37" s="36"/>
      <x:c r="G37" s="36"/>
      <x:c r="H37" t="str">
        <x:f>IF(COUNTA(B37:G37)=0,"",IF(AND(B37&lt;&gt;"",E37&lt;&gt;"",F37&lt;&gt;"",G37&lt;&gt;""),"OK","PENDENTE"))</x:f>
      </x:c>
    </x:row>
    <x:row r="38" ht="23" customHeight="1">
      <x:c r="B38" s="36"/>
      <x:c r="C38" s="36"/>
      <x:c r="D38" s="36"/>
      <x:c r="E38" s="48"/>
      <x:c r="F38" s="36"/>
      <x:c r="G38" s="36"/>
      <x:c r="H38" t="str">
        <x:f>IF(COUNTA(B38:G38)=0,"",IF(AND(B38&lt;&gt;"",E38&lt;&gt;"",F38&lt;&gt;"",G38&lt;&gt;""),"OK","PENDENTE"))</x:f>
      </x:c>
    </x:row>
    <x:row r="39" ht="23" customHeight="1">
      <x:c r="B39" s="36"/>
      <x:c r="C39" s="36"/>
      <x:c r="D39" s="36"/>
      <x:c r="E39" s="48"/>
      <x:c r="F39" s="36"/>
      <x:c r="G39" s="36"/>
      <x:c r="H39" t="str">
        <x:f>IF(COUNTA(B39:G39)=0,"",IF(AND(B39&lt;&gt;"",E39&lt;&gt;"",F39&lt;&gt;"",G39&lt;&gt;""),"OK","PENDENTE"))</x:f>
      </x:c>
    </x:row>
    <x:row r="40" ht="23" customHeight="1">
      <x:c r="B40" s="36"/>
      <x:c r="C40" s="36"/>
      <x:c r="D40" s="36"/>
      <x:c r="E40" s="48"/>
      <x:c r="F40" s="36"/>
      <x:c r="G40" s="36"/>
      <x:c r="H40" t="str">
        <x:f>IF(COUNTA(B40:G40)=0,"",IF(AND(B40&lt;&gt;"",E40&lt;&gt;"",F40&lt;&gt;"",G40&lt;&gt;""),"OK","PENDENTE"))</x:f>
      </x:c>
    </x:row>
    <x:row r="41" ht="23" customHeight="1">
      <x:c r="B41" s="36"/>
      <x:c r="C41" s="36"/>
      <x:c r="D41" s="36"/>
      <x:c r="E41" s="48"/>
      <x:c r="F41" s="36"/>
      <x:c r="G41" s="36"/>
      <x:c r="H41" t="str">
        <x:f>IF(COUNTA(B41:G41)=0,"",IF(AND(B41&lt;&gt;"",E41&lt;&gt;"",F41&lt;&gt;"",G41&lt;&gt;""),"OK","PENDENTE"))</x:f>
      </x:c>
    </x:row>
    <x:row r="42" ht="23" customHeight="1">
      <x:c r="B42" s="36"/>
      <x:c r="C42" s="36"/>
      <x:c r="D42" s="36"/>
      <x:c r="E42" s="48"/>
      <x:c r="F42" s="36"/>
      <x:c r="G42" s="36"/>
      <x:c r="H42" t="str">
        <x:f>IF(COUNTA(B42:G42)=0,"",IF(AND(B42&lt;&gt;"",E42&lt;&gt;"",F42&lt;&gt;"",G42&lt;&gt;""),"OK","PENDENTE"))</x:f>
      </x:c>
    </x:row>
    <x:row r="43" ht="23" customHeight="1">
      <x:c r="B43" s="36"/>
      <x:c r="C43" s="36"/>
      <x:c r="D43" s="36"/>
      <x:c r="E43" s="48"/>
      <x:c r="F43" s="36"/>
      <x:c r="G43" s="36"/>
      <x:c r="H43" t="str">
        <x:f>IF(COUNTA(B43:G43)=0,"",IF(AND(B43&lt;&gt;"",E43&lt;&gt;"",F43&lt;&gt;"",G43&lt;&gt;""),"OK","PENDENTE"))</x:f>
      </x:c>
    </x:row>
    <x:row r="44" ht="23" customHeight="1">
      <x:c r="B44" s="36"/>
      <x:c r="C44" s="36"/>
      <x:c r="D44" s="36"/>
      <x:c r="E44" s="48"/>
      <x:c r="F44" s="36"/>
      <x:c r="G44" s="36"/>
      <x:c r="H44" t="str">
        <x:f>IF(COUNTA(B44:G44)=0,"",IF(AND(B44&lt;&gt;"",E44&lt;&gt;"",F44&lt;&gt;"",G44&lt;&gt;""),"OK","PENDENTE"))</x:f>
      </x:c>
    </x:row>
    <x:row r="45" ht="23" customHeight="1">
      <x:c r="B45" s="36"/>
      <x:c r="C45" s="36"/>
      <x:c r="D45" s="36"/>
      <x:c r="E45" s="48"/>
      <x:c r="F45" s="36"/>
      <x:c r="G45" s="36"/>
      <x:c r="H45" t="str">
        <x:f>IF(COUNTA(B45:G45)=0,"",IF(AND(B45&lt;&gt;"",E45&lt;&gt;"",F45&lt;&gt;"",G45&lt;&gt;""),"OK","PENDENTE"))</x:f>
      </x:c>
    </x:row>
    <x:row r="46" ht="23" customHeight="1">
      <x:c r="B46" s="36"/>
      <x:c r="C46" s="36"/>
      <x:c r="D46" s="36"/>
      <x:c r="E46" s="48"/>
      <x:c r="F46" s="36"/>
      <x:c r="G46" s="36"/>
      <x:c r="H46" t="str">
        <x:f>IF(COUNTA(B46:G46)=0,"",IF(AND(B46&lt;&gt;"",E46&lt;&gt;"",F46&lt;&gt;"",G46&lt;&gt;""),"OK","PENDENTE"))</x:f>
      </x:c>
    </x:row>
    <x:row r="47" ht="23" customHeight="1">
      <x:c r="B47" s="36"/>
      <x:c r="C47" s="36"/>
      <x:c r="D47" s="36"/>
      <x:c r="E47" s="48"/>
      <x:c r="F47" s="36"/>
      <x:c r="G47" s="36"/>
      <x:c r="H47" t="str">
        <x:f>IF(COUNTA(B47:G47)=0,"",IF(AND(B47&lt;&gt;"",E47&lt;&gt;"",F47&lt;&gt;"",G47&lt;&gt;""),"OK","PENDENTE"))</x:f>
      </x:c>
    </x:row>
    <x:row r="48" ht="23" customHeight="1">
      <x:c r="B48" s="36"/>
      <x:c r="C48" s="36"/>
      <x:c r="D48" s="36"/>
      <x:c r="E48" s="48"/>
      <x:c r="F48" s="36"/>
      <x:c r="G48" s="36"/>
      <x:c r="H48" t="str">
        <x:f>IF(COUNTA(B48:G48)=0,"",IF(AND(B48&lt;&gt;"",E48&lt;&gt;"",F48&lt;&gt;"",G48&lt;&gt;""),"OK","PENDENTE"))</x:f>
      </x:c>
    </x:row>
    <x:row r="49" ht="23" customHeight="1">
      <x:c r="B49" s="36"/>
      <x:c r="C49" s="36"/>
      <x:c r="D49" s="36"/>
      <x:c r="E49" s="48"/>
      <x:c r="F49" s="36"/>
      <x:c r="G49" s="36"/>
      <x:c r="H49" t="str">
        <x:f>IF(COUNTA(B49:G49)=0,"",IF(AND(B49&lt;&gt;"",E49&lt;&gt;"",F49&lt;&gt;"",G49&lt;&gt;""),"OK","PENDENTE"))</x:f>
      </x:c>
    </x:row>
    <x:row r="50" ht="23" customHeight="1">
      <x:c r="B50" s="36"/>
      <x:c r="C50" s="36"/>
      <x:c r="D50" s="36"/>
      <x:c r="E50" s="48"/>
      <x:c r="F50" s="36"/>
      <x:c r="G50" s="36"/>
      <x:c r="H50" t="str">
        <x:f>IF(COUNTA(B50:G50)=0,"",IF(AND(B50&lt;&gt;"",E50&lt;&gt;"",F50&lt;&gt;"",G50&lt;&gt;""),"OK","PENDENTE"))</x:f>
      </x:c>
    </x:row>
    <x:row r="51" ht="23" customHeight="1">
      <x:c r="B51" s="36"/>
      <x:c r="C51" s="36"/>
      <x:c r="D51" s="36"/>
      <x:c r="E51" s="48"/>
      <x:c r="F51" s="36"/>
      <x:c r="G51" s="36"/>
      <x:c r="H51" t="str">
        <x:f>IF(COUNTA(B51:G51)=0,"",IF(AND(B51&lt;&gt;"",E51&lt;&gt;"",F51&lt;&gt;"",G51&lt;&gt;""),"OK","PENDENTE"))</x:f>
      </x:c>
    </x:row>
    <x:row r="52" ht="23" customHeight="1">
      <x:c r="B52" s="36"/>
      <x:c r="C52" s="36"/>
      <x:c r="D52" s="36"/>
      <x:c r="E52" s="48"/>
      <x:c r="F52" s="36"/>
      <x:c r="G52" s="36"/>
      <x:c r="H52" t="str">
        <x:f>IF(COUNTA(B52:G52)=0,"",IF(AND(B52&lt;&gt;"",E52&lt;&gt;"",F52&lt;&gt;"",G52&lt;&gt;""),"OK","PENDENTE"))</x:f>
      </x:c>
    </x:row>
    <x:row r="53" ht="23" customHeight="1">
      <x:c r="B53" s="36"/>
      <x:c r="C53" s="36"/>
      <x:c r="D53" s="36"/>
      <x:c r="E53" s="48"/>
      <x:c r="F53" s="36"/>
      <x:c r="G53" s="36"/>
      <x:c r="H53" t="str">
        <x:f>IF(COUNTA(B53:G53)=0,"",IF(AND(B53&lt;&gt;"",E53&lt;&gt;"",F53&lt;&gt;"",G53&lt;&gt;""),"OK","PENDENTE"))</x:f>
      </x:c>
    </x:row>
    <x:row r="54" ht="23" customHeight="1">
      <x:c r="B54" s="36"/>
      <x:c r="C54" s="36"/>
      <x:c r="D54" s="36"/>
      <x:c r="E54" s="48"/>
      <x:c r="F54" s="36"/>
      <x:c r="G54" s="36"/>
      <x:c r="H54" t="str">
        <x:f>IF(COUNTA(B54:G54)=0,"",IF(AND(B54&lt;&gt;"",E54&lt;&gt;"",F54&lt;&gt;"",G54&lt;&gt;""),"OK","PENDENTE"))</x:f>
      </x:c>
    </x:row>
    <x:row r="55" ht="23" customHeight="1">
      <x:c r="B55" s="36"/>
      <x:c r="C55" s="36"/>
      <x:c r="D55" s="36"/>
      <x:c r="E55" s="48"/>
      <x:c r="F55" s="36"/>
      <x:c r="G55" s="36"/>
      <x:c r="H55" t="str">
        <x:f>IF(COUNTA(B55:G55)=0,"",IF(AND(B55&lt;&gt;"",E55&lt;&gt;"",F55&lt;&gt;"",G55&lt;&gt;""),"OK","PENDENTE"))</x:f>
      </x:c>
    </x:row>
    <x:row r="56" ht="23" customHeight="1">
      <x:c r="B56" s="36"/>
      <x:c r="C56" s="36"/>
      <x:c r="D56" s="36"/>
      <x:c r="E56" s="48"/>
      <x:c r="F56" s="36"/>
      <x:c r="G56" s="36"/>
      <x:c r="H56" t="str">
        <x:f>IF(COUNTA(B56:G56)=0,"",IF(AND(B56&lt;&gt;"",E56&lt;&gt;"",F56&lt;&gt;"",G56&lt;&gt;""),"OK","PENDENTE"))</x:f>
      </x:c>
    </x:row>
    <x:row r="57" ht="23" customHeight="1">
      <x:c r="B57" s="36"/>
      <x:c r="C57" s="36"/>
      <x:c r="D57" s="36"/>
      <x:c r="E57" s="48"/>
      <x:c r="F57" s="36"/>
      <x:c r="G57" s="36"/>
      <x:c r="H57" t="str">
        <x:f>IF(COUNTA(B57:G57)=0,"",IF(AND(B57&lt;&gt;"",E57&lt;&gt;"",F57&lt;&gt;"",G57&lt;&gt;""),"OK","PENDENTE"))</x:f>
      </x:c>
    </x:row>
    <x:row r="58" ht="23" customHeight="1">
      <x:c r="B58" s="36"/>
      <x:c r="C58" s="36"/>
      <x:c r="D58" s="36"/>
      <x:c r="E58" s="48"/>
      <x:c r="F58" s="36"/>
      <x:c r="G58" s="36"/>
      <x:c r="H58" t="str">
        <x:f>IF(COUNTA(B58:G58)=0,"",IF(AND(B58&lt;&gt;"",E58&lt;&gt;"",F58&lt;&gt;"",G58&lt;&gt;""),"OK","PENDENTE"))</x:f>
      </x:c>
    </x:row>
    <x:row r="59" ht="23" customHeight="1">
      <x:c r="B59" s="36"/>
      <x:c r="C59" s="36"/>
      <x:c r="D59" s="36"/>
      <x:c r="E59" s="48"/>
      <x:c r="F59" s="36"/>
      <x:c r="G59" s="36"/>
      <x:c r="H59" t="str">
        <x:f>IF(COUNTA(B59:G59)=0,"",IF(AND(B59&lt;&gt;"",E59&lt;&gt;"",F59&lt;&gt;"",G59&lt;&gt;""),"OK","PENDENTE"))</x:f>
      </x:c>
    </x:row>
    <x:row r="60" ht="23" customHeight="1">
      <x:c r="B60" s="36"/>
      <x:c r="C60" s="36"/>
      <x:c r="D60" s="36"/>
      <x:c r="E60" s="48"/>
      <x:c r="F60" s="36"/>
      <x:c r="G60" s="36"/>
      <x:c r="H60" t="str">
        <x:f>IF(COUNTA(B60:G60)=0,"",IF(AND(B60&lt;&gt;"",E60&lt;&gt;"",F60&lt;&gt;"",G60&lt;&gt;""),"OK","PENDENTE"))</x:f>
      </x:c>
    </x:row>
    <x:row r="61">
      <x:c r="B61" s="36"/>
      <x:c r="C61" s="36"/>
      <x:c r="D61" s="36"/>
      <x:c r="E61" s="48"/>
      <x:c r="F61" s="36"/>
      <x:c r="G61" s="36"/>
      <x:c r="H61" t="str">
        <x:f>IF(COUNTA(B61:G61)=0,"",IF(AND(B61&lt;&gt;"",E61&lt;&gt;"",F61&lt;&gt;"",G61&lt;&gt;""),"OK","PENDENTE"))</x:f>
      </x:c>
    </x:row>
    <x:row r="62">
      <x:c r="B62" s="36"/>
      <x:c r="C62" s="36"/>
      <x:c r="D62" s="36"/>
      <x:c r="E62" s="48"/>
      <x:c r="F62" s="36"/>
      <x:c r="G62" s="36"/>
      <x:c r="H62" t="str">
        <x:f>IF(COUNTA(B62:G62)=0,"",IF(AND(B62&lt;&gt;"",E62&lt;&gt;"",F62&lt;&gt;"",G62&lt;&gt;""),"OK","PENDENTE"))</x:f>
      </x:c>
    </x:row>
    <x:row r="63">
      <x:c r="B63" s="36"/>
      <x:c r="C63" s="36"/>
      <x:c r="D63" s="36"/>
      <x:c r="E63" s="48"/>
      <x:c r="F63" s="36"/>
      <x:c r="G63" s="36"/>
      <x:c r="H63" t="str">
        <x:f>IF(COUNTA(B63:G63)=0,"",IF(AND(B63&lt;&gt;"",E63&lt;&gt;"",F63&lt;&gt;"",G63&lt;&gt;""),"OK","PENDENTE"))</x:f>
      </x:c>
    </x:row>
    <x:row r="64">
      <x:c r="B64" s="36"/>
      <x:c r="C64" s="36"/>
      <x:c r="D64" s="36"/>
      <x:c r="E64" s="48"/>
      <x:c r="F64" s="36"/>
      <x:c r="G64" s="36"/>
      <x:c r="H64" t="str">
        <x:f>IF(COUNTA(B64:G64)=0,"",IF(AND(B64&lt;&gt;"",E64&lt;&gt;"",F64&lt;&gt;"",G64&lt;&gt;""),"OK","PENDENTE"))</x:f>
      </x:c>
    </x:row>
    <x:row r="65">
      <x:c r="B65" s="36"/>
      <x:c r="C65" s="36"/>
      <x:c r="D65" s="36"/>
      <x:c r="E65" s="48"/>
      <x:c r="F65" s="36"/>
      <x:c r="G65" s="36"/>
      <x:c r="H65" t="str">
        <x:f>IF(COUNTA(B65:G65)=0,"",IF(AND(B65&lt;&gt;"",E65&lt;&gt;"",F65&lt;&gt;"",G65&lt;&gt;""),"OK","PENDENTE"))</x:f>
      </x:c>
    </x:row>
    <x:row r="66">
      <x:c r="B66" s="36"/>
      <x:c r="C66" s="36"/>
      <x:c r="D66" s="36"/>
      <x:c r="E66" s="48"/>
      <x:c r="F66" s="36"/>
      <x:c r="G66" s="36"/>
      <x:c r="H66" t="str">
        <x:f>IF(COUNTA(B66:G66)=0,"",IF(AND(B66&lt;&gt;"",E66&lt;&gt;"",F66&lt;&gt;"",G66&lt;&gt;""),"OK","PENDENTE"))</x:f>
      </x:c>
    </x:row>
    <x:row r="67">
      <x:c r="B67" s="36"/>
      <x:c r="C67" s="36"/>
      <x:c r="D67" s="36"/>
      <x:c r="E67" s="48"/>
      <x:c r="F67" s="36"/>
      <x:c r="G67" s="36"/>
      <x:c r="H67" t="str">
        <x:f>IF(COUNTA(B67:G67)=0,"",IF(AND(B67&lt;&gt;"",E67&lt;&gt;"",F67&lt;&gt;"",G67&lt;&gt;""),"OK","PENDENTE"))</x:f>
      </x:c>
    </x:row>
    <x:row r="68">
      <x:c r="B68" s="36"/>
      <x:c r="C68" s="36"/>
      <x:c r="D68" s="36"/>
      <x:c r="E68" s="48"/>
      <x:c r="F68" s="36"/>
      <x:c r="G68" s="36"/>
      <x:c r="H68" t="str">
        <x:f>IF(COUNTA(B68:G68)=0,"",IF(AND(B68&lt;&gt;"",E68&lt;&gt;"",F68&lt;&gt;"",G68&lt;&gt;""),"OK","PENDENTE"))</x:f>
      </x:c>
    </x:row>
    <x:row r="69">
      <x:c r="B69" s="36"/>
      <x:c r="C69" s="36"/>
      <x:c r="D69" s="36"/>
      <x:c r="E69" s="48"/>
      <x:c r="F69" s="36"/>
      <x:c r="G69" s="36"/>
      <x:c r="H69" t="str">
        <x:f>IF(COUNTA(B69:G69)=0,"",IF(AND(B69&lt;&gt;"",E69&lt;&gt;"",F69&lt;&gt;"",G69&lt;&gt;""),"OK","PENDENTE"))</x:f>
      </x:c>
    </x:row>
    <x:row r="70">
      <x:c r="B70" s="36"/>
      <x:c r="C70" s="36"/>
      <x:c r="D70" s="36"/>
      <x:c r="E70" s="48"/>
      <x:c r="F70" s="36"/>
      <x:c r="G70" s="36"/>
      <x:c r="H70" t="str">
        <x:f>IF(COUNTA(B70:G70)=0,"",IF(AND(B70&lt;&gt;"",E70&lt;&gt;"",F70&lt;&gt;"",G70&lt;&gt;""),"OK","PENDENTE"))</x:f>
      </x:c>
    </x:row>
    <x:row r="71">
      <x:c r="B71" s="36"/>
      <x:c r="C71" s="36"/>
      <x:c r="D71" s="36"/>
      <x:c r="E71" s="48"/>
      <x:c r="F71" s="36"/>
      <x:c r="G71" s="36"/>
      <x:c r="H71" t="str">
        <x:f>IF(COUNTA(B71:G71)=0,"",IF(AND(B71&lt;&gt;"",E71&lt;&gt;"",F71&lt;&gt;"",G71&lt;&gt;""),"OK","PENDENTE"))</x:f>
      </x:c>
    </x:row>
    <x:row r="72">
      <x:c r="B72" s="36"/>
      <x:c r="C72" s="36"/>
      <x:c r="D72" s="36"/>
      <x:c r="E72" s="48"/>
      <x:c r="F72" s="36"/>
      <x:c r="G72" s="36"/>
      <x:c r="H72" t="str">
        <x:f>IF(COUNTA(B72:G72)=0,"",IF(AND(B72&lt;&gt;"",E72&lt;&gt;"",F72&lt;&gt;"",G72&lt;&gt;""),"OK","PENDENTE"))</x:f>
      </x:c>
    </x:row>
    <x:row r="73">
      <x:c r="B73" s="36"/>
      <x:c r="C73" s="36"/>
      <x:c r="D73" s="36"/>
      <x:c r="E73" s="48"/>
      <x:c r="F73" s="36"/>
      <x:c r="G73" s="36"/>
      <x:c r="H73" t="str">
        <x:f>IF(COUNTA(B73:G73)=0,"",IF(AND(B73&lt;&gt;"",E73&lt;&gt;"",F73&lt;&gt;"",G73&lt;&gt;""),"OK","PENDENTE"))</x:f>
      </x:c>
    </x:row>
    <x:row r="74">
      <x:c r="B74" s="36"/>
      <x:c r="C74" s="36"/>
      <x:c r="D74" s="36"/>
      <x:c r="E74" s="48"/>
      <x:c r="F74" s="36"/>
      <x:c r="G74" s="36"/>
      <x:c r="H74" t="str">
        <x:f>IF(COUNTA(B74:G74)=0,"",IF(AND(B74&lt;&gt;"",E74&lt;&gt;"",F74&lt;&gt;"",G74&lt;&gt;""),"OK","PENDENTE"))</x:f>
      </x:c>
    </x:row>
    <x:row r="75">
      <x:c r="B75" s="36"/>
      <x:c r="C75" s="36"/>
      <x:c r="D75" s="36"/>
      <x:c r="E75" s="48"/>
      <x:c r="F75" s="36"/>
      <x:c r="G75" s="36"/>
      <x:c r="H75" t="str">
        <x:f>IF(COUNTA(B75:G75)=0,"",IF(AND(B75&lt;&gt;"",E75&lt;&gt;"",F75&lt;&gt;"",G75&lt;&gt;""),"OK","PENDENTE"))</x:f>
      </x:c>
    </x:row>
    <x:row r="76">
      <x:c r="B76" s="36"/>
      <x:c r="C76" s="36"/>
      <x:c r="D76" s="36"/>
      <x:c r="E76" s="48"/>
      <x:c r="F76" s="36"/>
      <x:c r="G76" s="36"/>
      <x:c r="H76" t="str">
        <x:f>IF(COUNTA(B76:G76)=0,"",IF(AND(B76&lt;&gt;"",E76&lt;&gt;"",F76&lt;&gt;"",G76&lt;&gt;""),"OK","PENDENTE"))</x:f>
      </x:c>
    </x:row>
    <x:row r="77">
      <x:c r="B77" s="36"/>
      <x:c r="C77" s="36"/>
      <x:c r="D77" s="36"/>
      <x:c r="E77" s="48"/>
      <x:c r="F77" s="36"/>
      <x:c r="G77" s="36"/>
      <x:c r="H77" t="str">
        <x:f>IF(COUNTA(B77:G77)=0,"",IF(AND(B77&lt;&gt;"",E77&lt;&gt;"",F77&lt;&gt;"",G77&lt;&gt;""),"OK","PENDENTE"))</x:f>
      </x:c>
    </x:row>
    <x:row r="78">
      <x:c r="B78" s="36"/>
      <x:c r="C78" s="36"/>
      <x:c r="D78" s="36"/>
      <x:c r="E78" s="48"/>
      <x:c r="F78" s="36"/>
      <x:c r="G78" s="36"/>
      <x:c r="H78" t="str">
        <x:f>IF(COUNTA(B78:G78)=0,"",IF(AND(B78&lt;&gt;"",E78&lt;&gt;"",F78&lt;&gt;"",G78&lt;&gt;""),"OK","PENDENTE"))</x:f>
      </x:c>
    </x:row>
    <x:row r="79">
      <x:c r="B79" s="36"/>
      <x:c r="C79" s="36"/>
      <x:c r="D79" s="36"/>
      <x:c r="E79" s="48"/>
      <x:c r="F79" s="36"/>
      <x:c r="G79" s="36"/>
      <x:c r="H79" t="str">
        <x:f>IF(COUNTA(B79:G79)=0,"",IF(AND(B79&lt;&gt;"",E79&lt;&gt;"",F79&lt;&gt;"",G79&lt;&gt;""),"OK","PENDENTE"))</x:f>
      </x:c>
    </x:row>
    <x:row r="80">
      <x:c r="B80" s="36"/>
      <x:c r="C80" s="36"/>
      <x:c r="D80" s="36"/>
      <x:c r="E80" s="48"/>
      <x:c r="F80" s="36"/>
      <x:c r="G80" s="36"/>
      <x:c r="H80" t="str">
        <x:f>IF(COUNTA(B80:G80)=0,"",IF(AND(B80&lt;&gt;"",E80&lt;&gt;"",F80&lt;&gt;"",G80&lt;&gt;""),"OK","PENDENTE"))</x:f>
      </x:c>
    </x:row>
    <x:row r="81">
      <x:c r="B81" s="36"/>
      <x:c r="C81" s="36"/>
      <x:c r="D81" s="36"/>
      <x:c r="E81" s="48"/>
      <x:c r="F81" s="36"/>
      <x:c r="G81" s="36"/>
      <x:c r="H81" t="str">
        <x:f>IF(COUNTA(B81:G81)=0,"",IF(AND(B81&lt;&gt;"",E81&lt;&gt;"",F81&lt;&gt;"",G81&lt;&gt;""),"OK","PENDENTE"))</x:f>
      </x:c>
    </x:row>
    <x:row r="82">
      <x:c r="B82" s="36"/>
      <x:c r="C82" s="36"/>
      <x:c r="D82" s="36"/>
      <x:c r="E82" s="48"/>
      <x:c r="F82" s="36"/>
      <x:c r="G82" s="36"/>
      <x:c r="H82" t="str">
        <x:f>IF(COUNTA(B82:G82)=0,"",IF(AND(B82&lt;&gt;"",E82&lt;&gt;"",F82&lt;&gt;"",G82&lt;&gt;""),"OK","PENDENTE"))</x:f>
      </x:c>
    </x:row>
    <x:row r="83">
      <x:c r="B83" s="36"/>
      <x:c r="C83" s="36"/>
      <x:c r="D83" s="36"/>
      <x:c r="E83" s="48"/>
      <x:c r="F83" s="36"/>
      <x:c r="G83" s="36"/>
      <x:c r="H83" t="str">
        <x:f>IF(COUNTA(B83:G83)=0,"",IF(AND(B83&lt;&gt;"",E83&lt;&gt;"",F83&lt;&gt;"",G83&lt;&gt;""),"OK","PENDENTE"))</x:f>
      </x:c>
    </x:row>
    <x:row r="84">
      <x:c r="B84" s="36"/>
      <x:c r="C84" s="36"/>
      <x:c r="D84" s="36"/>
      <x:c r="E84" s="48"/>
      <x:c r="F84" s="36"/>
      <x:c r="G84" s="36"/>
      <x:c r="H84" t="str">
        <x:f>IF(COUNTA(B84:G84)=0,"",IF(AND(B84&lt;&gt;"",E84&lt;&gt;"",F84&lt;&gt;"",G84&lt;&gt;""),"OK","PENDENTE"))</x:f>
      </x:c>
    </x:row>
    <x:row r="85">
      <x:c r="B85" s="36"/>
      <x:c r="C85" s="36"/>
      <x:c r="D85" s="36"/>
      <x:c r="E85" s="48"/>
      <x:c r="F85" s="36"/>
      <x:c r="G85" s="36"/>
      <x:c r="H85" t="str">
        <x:f>IF(COUNTA(B85:G85)=0,"",IF(AND(B85&lt;&gt;"",E85&lt;&gt;"",F85&lt;&gt;"",G85&lt;&gt;""),"OK","PENDENTE"))</x:f>
      </x:c>
    </x:row>
    <x:row r="86">
      <x:c r="B86" s="36"/>
      <x:c r="C86" s="36"/>
      <x:c r="D86" s="36"/>
      <x:c r="E86" s="48"/>
      <x:c r="F86" s="36"/>
      <x:c r="G86" s="36"/>
      <x:c r="H86" t="str">
        <x:f>IF(COUNTA(B86:G86)=0,"",IF(AND(B86&lt;&gt;"",E86&lt;&gt;"",F86&lt;&gt;"",G86&lt;&gt;""),"OK","PENDENTE"))</x:f>
      </x:c>
    </x:row>
    <x:row r="87">
      <x:c r="B87" s="36"/>
      <x:c r="C87" s="36"/>
      <x:c r="D87" s="36"/>
      <x:c r="E87" s="48"/>
      <x:c r="F87" s="36"/>
      <x:c r="G87" s="36"/>
      <x:c r="H87" t="str">
        <x:f>IF(COUNTA(B87:G87)=0,"",IF(AND(B87&lt;&gt;"",E87&lt;&gt;"",F87&lt;&gt;"",G87&lt;&gt;""),"OK","PENDENTE"))</x:f>
      </x:c>
    </x:row>
    <x:row r="88">
      <x:c r="B88" s="36"/>
      <x:c r="C88" s="36"/>
      <x:c r="D88" s="36"/>
      <x:c r="E88" s="48"/>
      <x:c r="F88" s="36"/>
      <x:c r="G88" s="36"/>
      <x:c r="H88" t="str">
        <x:f>IF(COUNTA(B88:G88)=0,"",IF(AND(B88&lt;&gt;"",E88&lt;&gt;"",F88&lt;&gt;"",G88&lt;&gt;""),"OK","PENDENTE"))</x:f>
      </x:c>
    </x:row>
    <x:row r="89">
      <x:c r="B89" s="36"/>
      <x:c r="C89" s="36"/>
      <x:c r="D89" s="36"/>
      <x:c r="E89" s="48"/>
      <x:c r="F89" s="36"/>
      <x:c r="G89" s="36"/>
      <x:c r="H89" t="str">
        <x:f>IF(COUNTA(B89:G89)=0,"",IF(AND(B89&lt;&gt;"",E89&lt;&gt;"",F89&lt;&gt;"",G89&lt;&gt;""),"OK","PENDENTE"))</x:f>
      </x:c>
    </x:row>
    <x:row r="90">
      <x:c r="B90" s="36"/>
      <x:c r="C90" s="36"/>
      <x:c r="D90" s="36"/>
      <x:c r="E90" s="48"/>
      <x:c r="F90" s="36"/>
      <x:c r="G90" s="36"/>
      <x:c r="H90" t="str">
        <x:f>IF(COUNTA(B90:G90)=0,"",IF(AND(B90&lt;&gt;"",E90&lt;&gt;"",F90&lt;&gt;"",G90&lt;&gt;""),"OK","PENDENTE"))</x:f>
      </x:c>
    </x:row>
    <x:row r="91">
      <x:c r="B91" s="36"/>
      <x:c r="C91" s="36"/>
      <x:c r="D91" s="36"/>
      <x:c r="E91" s="48"/>
      <x:c r="F91" s="36"/>
      <x:c r="G91" s="36"/>
      <x:c r="H91" t="str">
        <x:f>IF(COUNTA(B91:G91)=0,"",IF(AND(B91&lt;&gt;"",E91&lt;&gt;"",F91&lt;&gt;"",G91&lt;&gt;""),"OK","PENDENTE"))</x:f>
      </x:c>
    </x:row>
    <x:row r="92">
      <x:c r="B92" s="36"/>
      <x:c r="C92" s="36"/>
      <x:c r="D92" s="36"/>
      <x:c r="E92" s="48"/>
      <x:c r="F92" s="36"/>
      <x:c r="G92" s="36"/>
      <x:c r="H92" t="str">
        <x:f>IF(COUNTA(B92:G92)=0,"",IF(AND(B92&lt;&gt;"",E92&lt;&gt;"",F92&lt;&gt;"",G92&lt;&gt;""),"OK","PENDENTE"))</x:f>
      </x:c>
    </x:row>
    <x:row r="93">
      <x:c r="B93" s="36"/>
      <x:c r="C93" s="36"/>
      <x:c r="D93" s="36"/>
      <x:c r="E93" s="48"/>
      <x:c r="F93" s="36"/>
      <x:c r="G93" s="36"/>
      <x:c r="H93" t="str">
        <x:f>IF(COUNTA(B93:G93)=0,"",IF(AND(B93&lt;&gt;"",E93&lt;&gt;"",F93&lt;&gt;"",G93&lt;&gt;""),"OK","PENDENTE"))</x:f>
      </x:c>
    </x:row>
    <x:row r="94">
      <x:c r="B94" s="36"/>
      <x:c r="C94" s="36"/>
      <x:c r="D94" s="36"/>
      <x:c r="E94" s="48"/>
      <x:c r="F94" s="36"/>
      <x:c r="G94" s="36"/>
      <x:c r="H94" t="str">
        <x:f>IF(COUNTA(B94:G94)=0,"",IF(AND(B94&lt;&gt;"",E94&lt;&gt;"",F94&lt;&gt;"",G94&lt;&gt;""),"OK","PENDENTE"))</x:f>
      </x:c>
    </x:row>
    <x:row r="95">
      <x:c r="B95" s="36"/>
      <x:c r="C95" s="36"/>
      <x:c r="D95" s="36"/>
      <x:c r="E95" s="48"/>
      <x:c r="F95" s="36"/>
      <x:c r="G95" s="36"/>
      <x:c r="H95" t="str">
        <x:f>IF(COUNTA(B95:G95)=0,"",IF(AND(B95&lt;&gt;"",E95&lt;&gt;"",F95&lt;&gt;"",G95&lt;&gt;""),"OK","PENDENTE"))</x:f>
      </x:c>
    </x:row>
    <x:row r="96">
      <x:c r="B96" s="36"/>
      <x:c r="C96" s="36"/>
      <x:c r="D96" s="36"/>
      <x:c r="E96" s="48"/>
      <x:c r="F96" s="36"/>
      <x:c r="G96" s="36"/>
      <x:c r="H96" t="str">
        <x:f>IF(COUNTA(B96:G96)=0,"",IF(AND(B96&lt;&gt;"",E96&lt;&gt;"",F96&lt;&gt;"",G96&lt;&gt;""),"OK","PENDENTE"))</x:f>
      </x:c>
    </x:row>
    <x:row r="97">
      <x:c r="B97" s="36"/>
      <x:c r="C97" s="36"/>
      <x:c r="D97" s="36"/>
      <x:c r="E97" s="48"/>
      <x:c r="F97" s="36"/>
      <x:c r="G97" s="36"/>
      <x:c r="H97" t="str">
        <x:f>IF(COUNTA(B97:G97)=0,"",IF(AND(B97&lt;&gt;"",E97&lt;&gt;"",F97&lt;&gt;"",G97&lt;&gt;""),"OK","PENDENTE"))</x:f>
      </x:c>
    </x:row>
    <x:row r="98">
      <x:c r="B98" s="36"/>
      <x:c r="C98" s="36"/>
      <x:c r="D98" s="36"/>
      <x:c r="E98" s="48"/>
      <x:c r="F98" s="36"/>
      <x:c r="G98" s="36"/>
      <x:c r="H98" t="str">
        <x:f>IF(COUNTA(B98:G98)=0,"",IF(AND(B98&lt;&gt;"",E98&lt;&gt;"",F98&lt;&gt;"",G98&lt;&gt;""),"OK","PENDENTE"))</x:f>
      </x:c>
    </x:row>
    <x:row r="99">
      <x:c r="B99" s="36"/>
      <x:c r="C99" s="36"/>
      <x:c r="D99" s="36"/>
      <x:c r="E99" s="48"/>
      <x:c r="F99" s="36"/>
      <x:c r="G99" s="36"/>
      <x:c r="H99" t="str">
        <x:f>IF(COUNTA(B99:G99)=0,"",IF(AND(B99&lt;&gt;"",E99&lt;&gt;"",F99&lt;&gt;"",G99&lt;&gt;""),"OK","PENDENTE"))</x:f>
      </x:c>
    </x:row>
    <x:row r="100">
      <x:c r="B100" s="36"/>
      <x:c r="C100" s="36"/>
      <x:c r="D100" s="36"/>
      <x:c r="E100" s="48"/>
      <x:c r="F100" s="36"/>
      <x:c r="G100" s="36"/>
      <x:c r="H100" t="str">
        <x:f>IF(COUNTA(B100:G100)=0,"",IF(AND(B100&lt;&gt;"",E100&lt;&gt;"",F100&lt;&gt;"",G100&lt;&gt;""),"OK","PENDENTE"))</x:f>
      </x:c>
    </x:row>
    <x:row r="101">
      <x:c r="B101" s="36"/>
      <x:c r="C101" s="36"/>
      <x:c r="D101" s="36"/>
      <x:c r="E101" s="48"/>
      <x:c r="F101" s="36"/>
      <x:c r="G101" s="36"/>
      <x:c r="H101" t="str">
        <x:f>IF(COUNTA(B101:G101)=0,"",IF(AND(B101&lt;&gt;"",E101&lt;&gt;"",F101&lt;&gt;"",G101&lt;&gt;""),"OK","PENDENTE"))</x:f>
      </x:c>
    </x:row>
    <x:row r="102">
      <x:c r="B102" s="36"/>
      <x:c r="C102" s="36"/>
      <x:c r="D102" s="36"/>
      <x:c r="E102" s="48"/>
      <x:c r="F102" s="36"/>
      <x:c r="G102" s="36"/>
      <x:c r="H102" t="str">
        <x:f>IF(COUNTA(B102:G102)=0,"",IF(AND(B102&lt;&gt;"",E102&lt;&gt;"",F102&lt;&gt;"",G102&lt;&gt;""),"OK","PENDENTE"))</x:f>
      </x:c>
    </x:row>
    <x:row r="103">
      <x:c r="B103" s="36"/>
      <x:c r="C103" s="36"/>
      <x:c r="D103" s="36"/>
      <x:c r="E103" s="48"/>
      <x:c r="F103" s="36"/>
      <x:c r="G103" s="36"/>
      <x:c r="H103" t="str">
        <x:f>IF(COUNTA(B103:G103)=0,"",IF(AND(B103&lt;&gt;"",E103&lt;&gt;"",F103&lt;&gt;"",G103&lt;&gt;""),"OK","PENDENTE"))</x:f>
      </x:c>
    </x:row>
    <x:row r="104">
      <x:c r="B104" s="36"/>
      <x:c r="C104" s="36"/>
      <x:c r="D104" s="36"/>
      <x:c r="E104" s="48"/>
      <x:c r="F104" s="36"/>
      <x:c r="G104" s="36"/>
      <x:c r="H104" t="str">
        <x:f>IF(COUNTA(B104:G104)=0,"",IF(AND(B104&lt;&gt;"",E104&lt;&gt;"",F104&lt;&gt;"",G104&lt;&gt;""),"OK","PENDENTE"))</x:f>
      </x:c>
    </x:row>
    <x:row r="105">
      <x:c r="B105" s="36"/>
      <x:c r="C105" s="36"/>
      <x:c r="D105" s="36"/>
      <x:c r="E105" s="48"/>
      <x:c r="F105" s="36"/>
      <x:c r="G105" s="36"/>
      <x:c r="H105" t="str">
        <x:f>IF(COUNTA(B105:G105)=0,"",IF(AND(B105&lt;&gt;"",E105&lt;&gt;"",F105&lt;&gt;"",G105&lt;&gt;""),"OK","PENDENTE"))</x:f>
      </x:c>
    </x:row>
    <x:row r="106">
      <x:c r="B106" s="36"/>
      <x:c r="C106" s="36"/>
      <x:c r="D106" s="36"/>
      <x:c r="E106" s="48"/>
      <x:c r="F106" s="36"/>
      <x:c r="G106" s="36"/>
      <x:c r="H106" t="str">
        <x:f>IF(COUNTA(B106:G106)=0,"",IF(AND(B106&lt;&gt;"",E106&lt;&gt;"",F106&lt;&gt;"",G106&lt;&gt;""),"OK","PENDENTE"))</x:f>
      </x:c>
    </x:row>
    <x:row r="107">
      <x:c r="B107" s="36"/>
      <x:c r="C107" s="36"/>
      <x:c r="D107" s="36"/>
      <x:c r="E107" s="48"/>
      <x:c r="F107" s="36"/>
      <x:c r="G107" s="36"/>
      <x:c r="H107" t="str">
        <x:f>IF(COUNTA(B107:G107)=0,"",IF(AND(B107&lt;&gt;"",E107&lt;&gt;"",F107&lt;&gt;"",G107&lt;&gt;""),"OK","PENDENTE"))</x:f>
      </x:c>
    </x:row>
    <x:row r="108">
      <x:c r="B108" s="36"/>
      <x:c r="C108" s="36"/>
      <x:c r="D108" s="36"/>
      <x:c r="E108" s="48"/>
      <x:c r="F108" s="36"/>
      <x:c r="G108" s="36"/>
      <x:c r="H108" t="str">
        <x:f>IF(COUNTA(B108:G108)=0,"",IF(AND(B108&lt;&gt;"",E108&lt;&gt;"",F108&lt;&gt;"",G108&lt;&gt;""),"OK","PENDENTE"))</x:f>
      </x:c>
    </x:row>
    <x:row r="109">
      <x:c r="B109" s="36"/>
      <x:c r="C109" s="36"/>
      <x:c r="D109" s="36"/>
      <x:c r="E109" s="48"/>
      <x:c r="F109" s="36"/>
      <x:c r="G109" s="36"/>
      <x:c r="H109" t="str">
        <x:f>IF(COUNTA(B109:G109)=0,"",IF(AND(B109&lt;&gt;"",E109&lt;&gt;"",F109&lt;&gt;"",G109&lt;&gt;""),"OK","PENDENTE"))</x:f>
      </x:c>
    </x:row>
    <x:row r="110">
      <x:c r="B110" s="36"/>
      <x:c r="C110" s="36"/>
      <x:c r="D110" s="36"/>
      <x:c r="E110" s="48"/>
      <x:c r="F110" s="36"/>
      <x:c r="G110" s="36"/>
      <x:c r="H110" t="str">
        <x:f>IF(COUNTA(B110:G110)=0,"",IF(AND(B110&lt;&gt;"",E110&lt;&gt;"",F110&lt;&gt;"",G110&lt;&gt;""),"OK","PENDENTE"))</x:f>
      </x:c>
    </x:row>
    <x:row r="111">
      <x:c r="B111" s="36"/>
      <x:c r="C111" s="36"/>
      <x:c r="D111" s="36"/>
      <x:c r="E111" s="48"/>
      <x:c r="F111" s="36"/>
      <x:c r="G111" s="36"/>
      <x:c r="H111" t="str">
        <x:f>IF(COUNTA(B111:G111)=0,"",IF(AND(B111&lt;&gt;"",E111&lt;&gt;"",F111&lt;&gt;"",G111&lt;&gt;""),"OK","PENDENTE"))</x:f>
      </x:c>
    </x:row>
    <x:row r="112">
      <x:c r="B112" s="36"/>
      <x:c r="C112" s="36"/>
      <x:c r="D112" s="36"/>
      <x:c r="E112" s="48"/>
      <x:c r="F112" s="36"/>
      <x:c r="G112" s="36"/>
      <x:c r="H112" t="str">
        <x:f>IF(COUNTA(B112:G112)=0,"",IF(AND(B112&lt;&gt;"",E112&lt;&gt;"",F112&lt;&gt;"",G112&lt;&gt;""),"OK","PENDENTE"))</x:f>
      </x:c>
    </x:row>
    <x:row r="113">
      <x:c r="B113" s="36"/>
      <x:c r="C113" s="36"/>
      <x:c r="D113" s="36"/>
      <x:c r="E113" s="48"/>
      <x:c r="F113" s="36"/>
      <x:c r="G113" s="36"/>
      <x:c r="H113" t="str">
        <x:f>IF(COUNTA(B113:G113)=0,"",IF(AND(B113&lt;&gt;"",E113&lt;&gt;"",F113&lt;&gt;"",G113&lt;&gt;""),"OK","PENDENTE"))</x:f>
      </x:c>
    </x:row>
    <x:row r="114">
      <x:c r="B114" s="36"/>
      <x:c r="C114" s="36"/>
      <x:c r="D114" s="36"/>
      <x:c r="E114" s="48"/>
      <x:c r="F114" s="36"/>
      <x:c r="G114" s="36"/>
      <x:c r="H114" t="str">
        <x:f>IF(COUNTA(B114:G114)=0,"",IF(AND(B114&lt;&gt;"",E114&lt;&gt;"",F114&lt;&gt;"",G114&lt;&gt;""),"OK","PENDENTE"))</x:f>
      </x:c>
    </x:row>
    <x:row r="115">
      <x:c r="B115" s="36"/>
      <x:c r="C115" s="36"/>
      <x:c r="D115" s="36"/>
      <x:c r="E115" s="48"/>
      <x:c r="F115" s="36"/>
      <x:c r="G115" s="36"/>
      <x:c r="H115" t="str">
        <x:f>IF(COUNTA(B115:G115)=0,"",IF(AND(B115&lt;&gt;"",E115&lt;&gt;"",F115&lt;&gt;"",G115&lt;&gt;""),"OK","PENDENTE"))</x:f>
      </x:c>
    </x:row>
    <x:row r="116">
      <x:c r="B116" s="36"/>
      <x:c r="C116" s="36"/>
      <x:c r="D116" s="36"/>
      <x:c r="E116" s="48"/>
      <x:c r="F116" s="36"/>
      <x:c r="G116" s="36"/>
      <x:c r="H116" t="str">
        <x:f>IF(COUNTA(B116:G116)=0,"",IF(AND(B116&lt;&gt;"",E116&lt;&gt;"",F116&lt;&gt;"",G116&lt;&gt;""),"OK","PENDENTE"))</x:f>
      </x:c>
    </x:row>
    <x:row r="117">
      <x:c r="B117" s="36"/>
      <x:c r="C117" s="36"/>
      <x:c r="D117" s="36"/>
      <x:c r="E117" s="48"/>
      <x:c r="F117" s="36"/>
      <x:c r="G117" s="36"/>
      <x:c r="H117" t="str">
        <x:f>IF(COUNTA(B117:G117)=0,"",IF(AND(B117&lt;&gt;"",E117&lt;&gt;"",F117&lt;&gt;"",G117&lt;&gt;""),"OK","PENDENTE"))</x:f>
      </x:c>
    </x:row>
    <x:row r="118">
      <x:c r="B118" s="36"/>
      <x:c r="C118" s="36"/>
      <x:c r="D118" s="36"/>
      <x:c r="E118" s="48"/>
      <x:c r="F118" s="36"/>
      <x:c r="G118" s="36"/>
      <x:c r="H118" t="str">
        <x:f>IF(COUNTA(B118:G118)=0,"",IF(AND(B118&lt;&gt;"",E118&lt;&gt;"",F118&lt;&gt;"",G118&lt;&gt;""),"OK","PENDENTE"))</x:f>
      </x:c>
    </x:row>
    <x:row r="119">
      <x:c r="B119" s="36"/>
      <x:c r="C119" s="36"/>
      <x:c r="D119" s="36"/>
      <x:c r="E119" s="48"/>
      <x:c r="F119" s="36"/>
      <x:c r="G119" s="36"/>
      <x:c r="H119" t="str">
        <x:f>IF(COUNTA(B119:G119)=0,"",IF(AND(B119&lt;&gt;"",E119&lt;&gt;"",F119&lt;&gt;"",G119&lt;&gt;""),"OK","PENDENTE"))</x:f>
      </x:c>
    </x:row>
    <x:row r="120">
      <x:c r="B120" s="36"/>
      <x:c r="C120" s="36"/>
      <x:c r="D120" s="36"/>
      <x:c r="E120" s="48"/>
      <x:c r="F120" s="36"/>
      <x:c r="G120" s="36"/>
      <x:c r="H120" t="str">
        <x:f>IF(COUNTA(B120:G120)=0,"",IF(AND(B120&lt;&gt;"",E120&lt;&gt;"",F120&lt;&gt;"",G120&lt;&gt;""),"OK","PENDENTE"))</x:f>
      </x:c>
    </x:row>
    <x:row r="121">
      <x:c r="B121" s="36"/>
      <x:c r="C121" s="36"/>
      <x:c r="D121" s="36"/>
      <x:c r="E121" s="48"/>
      <x:c r="F121" s="36"/>
      <x:c r="G121" s="36"/>
      <x:c r="H121" t="str">
        <x:f>IF(COUNTA(B121:G121)=0,"",IF(AND(B121&lt;&gt;"",E121&lt;&gt;"",F121&lt;&gt;"",G121&lt;&gt;""),"OK","PENDENTE"))</x:f>
      </x:c>
    </x:row>
    <x:row r="122">
      <x:c r="B122" s="36"/>
      <x:c r="C122" s="36"/>
      <x:c r="D122" s="36"/>
      <x:c r="E122" s="48"/>
      <x:c r="F122" s="36"/>
      <x:c r="G122" s="36"/>
      <x:c r="H122" t="str">
        <x:f>IF(COUNTA(B122:G122)=0,"",IF(AND(B122&lt;&gt;"",E122&lt;&gt;"",F122&lt;&gt;"",G122&lt;&gt;""),"OK","PENDENTE"))</x:f>
      </x:c>
    </x:row>
    <x:row r="123">
      <x:c r="B123" s="36"/>
      <x:c r="C123" s="36"/>
      <x:c r="D123" s="36"/>
      <x:c r="E123" s="48"/>
      <x:c r="F123" s="36"/>
      <x:c r="G123" s="36"/>
      <x:c r="H123" t="str">
        <x:f>IF(COUNTA(B123:G123)=0,"",IF(AND(B123&lt;&gt;"",E123&lt;&gt;"",F123&lt;&gt;"",G123&lt;&gt;""),"OK","PENDENTE"))</x:f>
      </x:c>
    </x:row>
    <x:row r="124">
      <x:c r="B124" s="36"/>
      <x:c r="C124" s="36"/>
      <x:c r="D124" s="36"/>
      <x:c r="E124" s="48"/>
      <x:c r="F124" s="36"/>
      <x:c r="G124" s="36"/>
      <x:c r="H124" t="str">
        <x:f>IF(COUNTA(B124:G124)=0,"",IF(AND(B124&lt;&gt;"",E124&lt;&gt;"",F124&lt;&gt;"",G124&lt;&gt;""),"OK","PENDENTE"))</x:f>
      </x:c>
    </x:row>
    <x:row r="125">
      <x:c r="B125" s="36"/>
      <x:c r="C125" s="36"/>
      <x:c r="D125" s="36"/>
      <x:c r="E125" s="48"/>
      <x:c r="F125" s="36"/>
      <x:c r="G125" s="36"/>
      <x:c r="H125" t="str">
        <x:f>IF(COUNTA(B125:G125)=0,"",IF(AND(B125&lt;&gt;"",E125&lt;&gt;"",F125&lt;&gt;"",G125&lt;&gt;""),"OK","PENDENTE"))</x:f>
      </x:c>
    </x:row>
    <x:row r="126">
      <x:c r="B126" s="36"/>
      <x:c r="C126" s="36"/>
      <x:c r="D126" s="36"/>
      <x:c r="E126" s="48"/>
      <x:c r="F126" s="36"/>
      <x:c r="G126" s="36"/>
      <x:c r="H126" t="str">
        <x:f>IF(COUNTA(B126:G126)=0,"",IF(AND(B126&lt;&gt;"",E126&lt;&gt;"",F126&lt;&gt;"",G126&lt;&gt;""),"OK","PENDENTE"))</x:f>
      </x:c>
    </x:row>
  </x:sheetData>
  <x:mergeCells>
    <x:mergeCell ref="B2:J3"/>
    <x:mergeCell ref="B5:J5"/>
  </x:mergeCells>
  <x:conditionalFormatting sqref="H7:H126">
    <x:cfRule type="expression" dxfId="1" priority="1">
      <x:formula>H7="PENDENTE"</x:formula>
    </x:cfRule>
  </x:conditionalFormatting>
  <x:dataValidations count="4">
    <x:dataValidation type="list" sqref="B7:B126">
      <x:formula1>LISTAS!$A$3:$A$52</x:formula1>
    </x:dataValidation>
    <x:dataValidation type="list" sqref="C7:C126">
      <x:formula1>LISTAS!$B$3:$B$9</x:formula1>
    </x:dataValidation>
    <x:dataValidation type="whole" operator="between" sqref="F7:F126">
      <x:formula1>2000</x:formula1>
      <x:formula2>2100</x:formula2>
    </x:dataValidation>
    <x:dataValidation type="decimal" sqref="E7:E126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7" hidden="0" customWidth="1"/>
    <x:col min="3" max="3" width="36" hidden="0" customWidth="1"/>
    <x:col min="4" max="4" width="18" hidden="0" customWidth="1"/>
    <x:col min="5" max="5" width="25" hidden="0" customWidth="1"/>
    <x:col min="6" max="6" width="20" hidden="0" customWidth="1"/>
    <x:col min="7" max="7" width="30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03  |  Livro de receitas e despesas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>
      <x:c r="B5" t="str">
        <x:v>Registre entradas e saídas sem somá-las duas vezes. Use valores positivos e escolha o tipo.</x:v>
      </x:c>
    </x:row>
    <x:row r="6" ht="29" customHeight="1">
      <x:c r="B6" s="32" t="str">
        <x:v>DATA</x:v>
      </x:c>
      <x:c r="C6" s="32" t="str">
        <x:v>DESCRIÇÃO</x:v>
      </x:c>
      <x:c r="D6" s="32" t="str">
        <x:v>TIPO</x:v>
      </x:c>
      <x:c r="E6" s="32" t="str">
        <x:v>CATEGORIA</x:v>
      </x:c>
      <x:c r="F6" s="32" t="str">
        <x:v>VALOR (R$)</x:v>
      </x:c>
      <x:c r="G6" s="32" t="str">
        <x:v>DOCUMENTO / ORIGEM</x:v>
      </x:c>
      <x:c r="H6" s="32" t="str">
        <x:v>CONFERÊNCIA</x:v>
      </x:c>
    </x:row>
    <x:row r="7" ht="23" customHeight="1">
      <x:c r="B7" s="50"/>
      <x:c r="C7" s="36"/>
      <x:c r="D7" s="36"/>
      <x:c r="E7" s="36"/>
      <x:c r="F7" s="48"/>
      <x:c r="G7" s="36"/>
      <x:c r="H7" t="str">
        <x:f>IF(COUNTA(B7:G7)=0,"",IF(AND(ISNUMBER(B7),C7&lt;&gt;"",D7&lt;&gt;"",E7&lt;&gt;"",ISNUMBER(F7)),"OK","PENDENTE"))</x:f>
      </x:c>
    </x:row>
    <x:row r="8" ht="23" customHeight="1">
      <x:c r="B8" s="50"/>
      <x:c r="C8" s="36"/>
      <x:c r="D8" s="36"/>
      <x:c r="E8" s="36"/>
      <x:c r="F8" s="48"/>
      <x:c r="G8" s="36"/>
      <x:c r="H8" t="str">
        <x:f>IF(COUNTA(B8:G8)=0,"",IF(AND(ISNUMBER(B8),C8&lt;&gt;"",D8&lt;&gt;"",E8&lt;&gt;"",ISNUMBER(F8)),"OK","PENDENTE"))</x:f>
      </x:c>
    </x:row>
    <x:row r="9" ht="23" customHeight="1">
      <x:c r="B9" s="50"/>
      <x:c r="C9" s="36"/>
      <x:c r="D9" s="36"/>
      <x:c r="E9" s="36"/>
      <x:c r="F9" s="48"/>
      <x:c r="G9" s="36"/>
      <x:c r="H9" t="str">
        <x:f>IF(COUNTA(B9:G9)=0,"",IF(AND(ISNUMBER(B9),C9&lt;&gt;"",D9&lt;&gt;"",E9&lt;&gt;"",ISNUMBER(F9)),"OK","PENDENTE"))</x:f>
      </x:c>
    </x:row>
    <x:row r="10" ht="23" customHeight="1">
      <x:c r="B10" s="50"/>
      <x:c r="C10" s="36"/>
      <x:c r="D10" s="36"/>
      <x:c r="E10" s="36"/>
      <x:c r="F10" s="48"/>
      <x:c r="G10" s="36"/>
      <x:c r="H10" t="str">
        <x:f>IF(COUNTA(B10:G10)=0,"",IF(AND(ISNUMBER(B10),C10&lt;&gt;"",D10&lt;&gt;"",E10&lt;&gt;"",ISNUMBER(F10)),"OK","PENDENTE"))</x:f>
      </x:c>
    </x:row>
    <x:row r="11" ht="23" customHeight="1">
      <x:c r="B11" s="50"/>
      <x:c r="C11" s="36"/>
      <x:c r="D11" s="36"/>
      <x:c r="E11" s="36"/>
      <x:c r="F11" s="48"/>
      <x:c r="G11" s="36"/>
      <x:c r="H11" t="str">
        <x:f>IF(COUNTA(B11:G11)=0,"",IF(AND(ISNUMBER(B11),C11&lt;&gt;"",D11&lt;&gt;"",E11&lt;&gt;"",ISNUMBER(F11)),"OK","PENDENTE"))</x:f>
      </x:c>
    </x:row>
    <x:row r="12" ht="23" customHeight="1">
      <x:c r="B12" s="50"/>
      <x:c r="C12" s="36"/>
      <x:c r="D12" s="36"/>
      <x:c r="E12" s="36"/>
      <x:c r="F12" s="48"/>
      <x:c r="G12" s="36"/>
      <x:c r="H12" t="str">
        <x:f>IF(COUNTA(B12:G12)=0,"",IF(AND(ISNUMBER(B12),C12&lt;&gt;"",D12&lt;&gt;"",E12&lt;&gt;"",ISNUMBER(F12)),"OK","PENDENTE"))</x:f>
      </x:c>
    </x:row>
    <x:row r="13" ht="23" customHeight="1">
      <x:c r="B13" s="50"/>
      <x:c r="C13" s="36"/>
      <x:c r="D13" s="36"/>
      <x:c r="E13" s="36"/>
      <x:c r="F13" s="48"/>
      <x:c r="G13" s="36"/>
      <x:c r="H13" t="str">
        <x:f>IF(COUNTA(B13:G13)=0,"",IF(AND(ISNUMBER(B13),C13&lt;&gt;"",D13&lt;&gt;"",E13&lt;&gt;"",ISNUMBER(F13)),"OK","PENDENTE"))</x:f>
      </x:c>
    </x:row>
    <x:row r="14" ht="23" customHeight="1">
      <x:c r="B14" s="50"/>
      <x:c r="C14" s="36"/>
      <x:c r="D14" s="36"/>
      <x:c r="E14" s="36"/>
      <x:c r="F14" s="48"/>
      <x:c r="G14" s="36"/>
      <x:c r="H14" t="str">
        <x:f>IF(COUNTA(B14:G14)=0,"",IF(AND(ISNUMBER(B14),C14&lt;&gt;"",D14&lt;&gt;"",E14&lt;&gt;"",ISNUMBER(F14)),"OK","PENDENTE"))</x:f>
      </x:c>
    </x:row>
    <x:row r="15" ht="23" customHeight="1">
      <x:c r="B15" s="50"/>
      <x:c r="C15" s="36"/>
      <x:c r="D15" s="36"/>
      <x:c r="E15" s="36"/>
      <x:c r="F15" s="48"/>
      <x:c r="G15" s="36"/>
      <x:c r="H15" t="str">
        <x:f>IF(COUNTA(B15:G15)=0,"",IF(AND(ISNUMBER(B15),C15&lt;&gt;"",D15&lt;&gt;"",E15&lt;&gt;"",ISNUMBER(F15)),"OK","PENDENTE"))</x:f>
      </x:c>
    </x:row>
    <x:row r="16" ht="23" customHeight="1">
      <x:c r="B16" s="50"/>
      <x:c r="C16" s="36"/>
      <x:c r="D16" s="36"/>
      <x:c r="E16" s="36"/>
      <x:c r="F16" s="48"/>
      <x:c r="G16" s="36"/>
      <x:c r="H16" t="str">
        <x:f>IF(COUNTA(B16:G16)=0,"",IF(AND(ISNUMBER(B16),C16&lt;&gt;"",D16&lt;&gt;"",E16&lt;&gt;"",ISNUMBER(F16)),"OK","PENDENTE"))</x:f>
      </x:c>
    </x:row>
    <x:row r="17" ht="23" customHeight="1">
      <x:c r="B17" s="50"/>
      <x:c r="C17" s="36"/>
      <x:c r="D17" s="36"/>
      <x:c r="E17" s="36"/>
      <x:c r="F17" s="48"/>
      <x:c r="G17" s="36"/>
      <x:c r="H17" t="str">
        <x:f>IF(COUNTA(B17:G17)=0,"",IF(AND(ISNUMBER(B17),C17&lt;&gt;"",D17&lt;&gt;"",E17&lt;&gt;"",ISNUMBER(F17)),"OK","PENDENTE"))</x:f>
      </x:c>
    </x:row>
    <x:row r="18" ht="23" customHeight="1">
      <x:c r="B18" s="50"/>
      <x:c r="C18" s="36"/>
      <x:c r="D18" s="36"/>
      <x:c r="E18" s="36"/>
      <x:c r="F18" s="48"/>
      <x:c r="G18" s="36"/>
      <x:c r="H18" t="str">
        <x:f>IF(COUNTA(B18:G18)=0,"",IF(AND(ISNUMBER(B18),C18&lt;&gt;"",D18&lt;&gt;"",E18&lt;&gt;"",ISNUMBER(F18)),"OK","PENDENTE"))</x:f>
      </x:c>
    </x:row>
    <x:row r="19" ht="23" customHeight="1">
      <x:c r="B19" s="50"/>
      <x:c r="C19" s="36"/>
      <x:c r="D19" s="36"/>
      <x:c r="E19" s="36"/>
      <x:c r="F19" s="48"/>
      <x:c r="G19" s="36"/>
      <x:c r="H19" t="str">
        <x:f>IF(COUNTA(B19:G19)=0,"",IF(AND(ISNUMBER(B19),C19&lt;&gt;"",D19&lt;&gt;"",E19&lt;&gt;"",ISNUMBER(F19)),"OK","PENDENTE"))</x:f>
      </x:c>
    </x:row>
    <x:row r="20" ht="23" customHeight="1">
      <x:c r="B20" s="50"/>
      <x:c r="C20" s="36"/>
      <x:c r="D20" s="36"/>
      <x:c r="E20" s="36"/>
      <x:c r="F20" s="48"/>
      <x:c r="G20" s="36"/>
      <x:c r="H20" t="str">
        <x:f>IF(COUNTA(B20:G20)=0,"",IF(AND(ISNUMBER(B20),C20&lt;&gt;"",D20&lt;&gt;"",E20&lt;&gt;"",ISNUMBER(F20)),"OK","PENDENTE"))</x:f>
      </x:c>
    </x:row>
    <x:row r="21" ht="23" customHeight="1">
      <x:c r="B21" s="50"/>
      <x:c r="C21" s="36"/>
      <x:c r="D21" s="36"/>
      <x:c r="E21" s="36"/>
      <x:c r="F21" s="48"/>
      <x:c r="G21" s="36"/>
      <x:c r="H21" t="str">
        <x:f>IF(COUNTA(B21:G21)=0,"",IF(AND(ISNUMBER(B21),C21&lt;&gt;"",D21&lt;&gt;"",E21&lt;&gt;"",ISNUMBER(F21)),"OK","PENDENTE"))</x:f>
      </x:c>
    </x:row>
    <x:row r="22" ht="23" customHeight="1">
      <x:c r="B22" s="50"/>
      <x:c r="C22" s="36"/>
      <x:c r="D22" s="36"/>
      <x:c r="E22" s="36"/>
      <x:c r="F22" s="48"/>
      <x:c r="G22" s="36"/>
      <x:c r="H22" t="str">
        <x:f>IF(COUNTA(B22:G22)=0,"",IF(AND(ISNUMBER(B22),C22&lt;&gt;"",D22&lt;&gt;"",E22&lt;&gt;"",ISNUMBER(F22)),"OK","PENDENTE"))</x:f>
      </x:c>
    </x:row>
    <x:row r="23" ht="23" customHeight="1">
      <x:c r="B23" s="50"/>
      <x:c r="C23" s="36"/>
      <x:c r="D23" s="36"/>
      <x:c r="E23" s="36"/>
      <x:c r="F23" s="48"/>
      <x:c r="G23" s="36"/>
      <x:c r="H23" t="str">
        <x:f>IF(COUNTA(B23:G23)=0,"",IF(AND(ISNUMBER(B23),C23&lt;&gt;"",D23&lt;&gt;"",E23&lt;&gt;"",ISNUMBER(F23)),"OK","PENDENTE"))</x:f>
      </x:c>
    </x:row>
    <x:row r="24" ht="23" customHeight="1">
      <x:c r="B24" s="50"/>
      <x:c r="C24" s="36"/>
      <x:c r="D24" s="36"/>
      <x:c r="E24" s="36"/>
      <x:c r="F24" s="48"/>
      <x:c r="G24" s="36"/>
      <x:c r="H24" t="str">
        <x:f>IF(COUNTA(B24:G24)=0,"",IF(AND(ISNUMBER(B24),C24&lt;&gt;"",D24&lt;&gt;"",E24&lt;&gt;"",ISNUMBER(F24)),"OK","PENDENTE"))</x:f>
      </x:c>
    </x:row>
    <x:row r="25" ht="23" customHeight="1">
      <x:c r="B25" s="50"/>
      <x:c r="C25" s="36"/>
      <x:c r="D25" s="36"/>
      <x:c r="E25" s="36"/>
      <x:c r="F25" s="48"/>
      <x:c r="G25" s="36"/>
      <x:c r="H25" t="str">
        <x:f>IF(COUNTA(B25:G25)=0,"",IF(AND(ISNUMBER(B25),C25&lt;&gt;"",D25&lt;&gt;"",E25&lt;&gt;"",ISNUMBER(F25)),"OK","PENDENTE"))</x:f>
      </x:c>
    </x:row>
    <x:row r="26" ht="23" customHeight="1">
      <x:c r="B26" s="50"/>
      <x:c r="C26" s="36"/>
      <x:c r="D26" s="36"/>
      <x:c r="E26" s="36"/>
      <x:c r="F26" s="48"/>
      <x:c r="G26" s="36"/>
      <x:c r="H26" t="str">
        <x:f>IF(COUNTA(B26:G26)=0,"",IF(AND(ISNUMBER(B26),C26&lt;&gt;"",D26&lt;&gt;"",E26&lt;&gt;"",ISNUMBER(F26)),"OK","PENDENTE"))</x:f>
      </x:c>
    </x:row>
    <x:row r="27" ht="23" customHeight="1">
      <x:c r="B27" s="50"/>
      <x:c r="C27" s="36"/>
      <x:c r="D27" s="36"/>
      <x:c r="E27" s="36"/>
      <x:c r="F27" s="48"/>
      <x:c r="G27" s="36"/>
      <x:c r="H27" t="str">
        <x:f>IF(COUNTA(B27:G27)=0,"",IF(AND(ISNUMBER(B27),C27&lt;&gt;"",D27&lt;&gt;"",E27&lt;&gt;"",ISNUMBER(F27)),"OK","PENDENTE"))</x:f>
      </x:c>
    </x:row>
    <x:row r="28" ht="23" customHeight="1">
      <x:c r="B28" s="50"/>
      <x:c r="C28" s="36"/>
      <x:c r="D28" s="36"/>
      <x:c r="E28" s="36"/>
      <x:c r="F28" s="48"/>
      <x:c r="G28" s="36"/>
      <x:c r="H28" t="str">
        <x:f>IF(COUNTA(B28:G28)=0,"",IF(AND(ISNUMBER(B28),C28&lt;&gt;"",D28&lt;&gt;"",E28&lt;&gt;"",ISNUMBER(F28)),"OK","PENDENTE"))</x:f>
      </x:c>
    </x:row>
    <x:row r="29" ht="23" customHeight="1">
      <x:c r="B29" s="50"/>
      <x:c r="C29" s="36"/>
      <x:c r="D29" s="36"/>
      <x:c r="E29" s="36"/>
      <x:c r="F29" s="48"/>
      <x:c r="G29" s="36"/>
      <x:c r="H29" t="str">
        <x:f>IF(COUNTA(B29:G29)=0,"",IF(AND(ISNUMBER(B29),C29&lt;&gt;"",D29&lt;&gt;"",E29&lt;&gt;"",ISNUMBER(F29)),"OK","PENDENTE"))</x:f>
      </x:c>
    </x:row>
    <x:row r="30" ht="23" customHeight="1">
      <x:c r="B30" s="50"/>
      <x:c r="C30" s="36"/>
      <x:c r="D30" s="36"/>
      <x:c r="E30" s="36"/>
      <x:c r="F30" s="48"/>
      <x:c r="G30" s="36"/>
      <x:c r="H30" t="str">
        <x:f>IF(COUNTA(B30:G30)=0,"",IF(AND(ISNUMBER(B30),C30&lt;&gt;"",D30&lt;&gt;"",E30&lt;&gt;"",ISNUMBER(F30)),"OK","PENDENTE"))</x:f>
      </x:c>
    </x:row>
    <x:row r="31" ht="23" customHeight="1">
      <x:c r="B31" s="50"/>
      <x:c r="C31" s="36"/>
      <x:c r="D31" s="36"/>
      <x:c r="E31" s="36"/>
      <x:c r="F31" s="48"/>
      <x:c r="G31" s="36"/>
      <x:c r="H31" t="str">
        <x:f>IF(COUNTA(B31:G31)=0,"",IF(AND(ISNUMBER(B31),C31&lt;&gt;"",D31&lt;&gt;"",E31&lt;&gt;"",ISNUMBER(F31)),"OK","PENDENTE"))</x:f>
      </x:c>
    </x:row>
    <x:row r="32" ht="23" customHeight="1">
      <x:c r="B32" s="50"/>
      <x:c r="C32" s="36"/>
      <x:c r="D32" s="36"/>
      <x:c r="E32" s="36"/>
      <x:c r="F32" s="48"/>
      <x:c r="G32" s="36"/>
      <x:c r="H32" t="str">
        <x:f>IF(COUNTA(B32:G32)=0,"",IF(AND(ISNUMBER(B32),C32&lt;&gt;"",D32&lt;&gt;"",E32&lt;&gt;"",ISNUMBER(F32)),"OK","PENDENTE"))</x:f>
      </x:c>
    </x:row>
    <x:row r="33" ht="23" customHeight="1">
      <x:c r="B33" s="50"/>
      <x:c r="C33" s="36"/>
      <x:c r="D33" s="36"/>
      <x:c r="E33" s="36"/>
      <x:c r="F33" s="48"/>
      <x:c r="G33" s="36"/>
      <x:c r="H33" t="str">
        <x:f>IF(COUNTA(B33:G33)=0,"",IF(AND(ISNUMBER(B33),C33&lt;&gt;"",D33&lt;&gt;"",E33&lt;&gt;"",ISNUMBER(F33)),"OK","PENDENTE"))</x:f>
      </x:c>
    </x:row>
    <x:row r="34" ht="23" customHeight="1">
      <x:c r="B34" s="50"/>
      <x:c r="C34" s="36"/>
      <x:c r="D34" s="36"/>
      <x:c r="E34" s="36"/>
      <x:c r="F34" s="48"/>
      <x:c r="G34" s="36"/>
      <x:c r="H34" t="str">
        <x:f>IF(COUNTA(B34:G34)=0,"",IF(AND(ISNUMBER(B34),C34&lt;&gt;"",D34&lt;&gt;"",E34&lt;&gt;"",ISNUMBER(F34)),"OK","PENDENTE"))</x:f>
      </x:c>
    </x:row>
    <x:row r="35" ht="23" customHeight="1">
      <x:c r="B35" s="50"/>
      <x:c r="C35" s="36"/>
      <x:c r="D35" s="36"/>
      <x:c r="E35" s="36"/>
      <x:c r="F35" s="48"/>
      <x:c r="G35" s="36"/>
      <x:c r="H35" t="str">
        <x:f>IF(COUNTA(B35:G35)=0,"",IF(AND(ISNUMBER(B35),C35&lt;&gt;"",D35&lt;&gt;"",E35&lt;&gt;"",ISNUMBER(F35)),"OK","PENDENTE"))</x:f>
      </x:c>
    </x:row>
    <x:row r="36" ht="23" customHeight="1">
      <x:c r="B36" s="50"/>
      <x:c r="C36" s="36"/>
      <x:c r="D36" s="36"/>
      <x:c r="E36" s="36"/>
      <x:c r="F36" s="48"/>
      <x:c r="G36" s="36"/>
      <x:c r="H36" t="str">
        <x:f>IF(COUNTA(B36:G36)=0,"",IF(AND(ISNUMBER(B36),C36&lt;&gt;"",D36&lt;&gt;"",E36&lt;&gt;"",ISNUMBER(F36)),"OK","PENDENTE"))</x:f>
      </x:c>
    </x:row>
    <x:row r="37" ht="23" customHeight="1">
      <x:c r="B37" s="50"/>
      <x:c r="C37" s="36"/>
      <x:c r="D37" s="36"/>
      <x:c r="E37" s="36"/>
      <x:c r="F37" s="48"/>
      <x:c r="G37" s="36"/>
      <x:c r="H37" t="str">
        <x:f>IF(COUNTA(B37:G37)=0,"",IF(AND(ISNUMBER(B37),C37&lt;&gt;"",D37&lt;&gt;"",E37&lt;&gt;"",ISNUMBER(F37)),"OK","PENDENTE"))</x:f>
      </x:c>
    </x:row>
    <x:row r="38" ht="23" customHeight="1">
      <x:c r="B38" s="50"/>
      <x:c r="C38" s="36"/>
      <x:c r="D38" s="36"/>
      <x:c r="E38" s="36"/>
      <x:c r="F38" s="48"/>
      <x:c r="G38" s="36"/>
      <x:c r="H38" t="str">
        <x:f>IF(COUNTA(B38:G38)=0,"",IF(AND(ISNUMBER(B38),C38&lt;&gt;"",D38&lt;&gt;"",E38&lt;&gt;"",ISNUMBER(F38)),"OK","PENDENTE"))</x:f>
      </x:c>
    </x:row>
    <x:row r="39" ht="23" customHeight="1">
      <x:c r="B39" s="50"/>
      <x:c r="C39" s="36"/>
      <x:c r="D39" s="36"/>
      <x:c r="E39" s="36"/>
      <x:c r="F39" s="48"/>
      <x:c r="G39" s="36"/>
      <x:c r="H39" t="str">
        <x:f>IF(COUNTA(B39:G39)=0,"",IF(AND(ISNUMBER(B39),C39&lt;&gt;"",D39&lt;&gt;"",E39&lt;&gt;"",ISNUMBER(F39)),"OK","PENDENTE"))</x:f>
      </x:c>
    </x:row>
    <x:row r="40" ht="23" customHeight="1">
      <x:c r="B40" s="50"/>
      <x:c r="C40" s="36"/>
      <x:c r="D40" s="36"/>
      <x:c r="E40" s="36"/>
      <x:c r="F40" s="48"/>
      <x:c r="G40" s="36"/>
      <x:c r="H40" t="str">
        <x:f>IF(COUNTA(B40:G40)=0,"",IF(AND(ISNUMBER(B40),C40&lt;&gt;"",D40&lt;&gt;"",E40&lt;&gt;"",ISNUMBER(F40)),"OK","PENDENTE"))</x:f>
      </x:c>
    </x:row>
    <x:row r="41" ht="23" customHeight="1">
      <x:c r="B41" s="50"/>
      <x:c r="C41" s="36"/>
      <x:c r="D41" s="36"/>
      <x:c r="E41" s="36"/>
      <x:c r="F41" s="48"/>
      <x:c r="G41" s="36"/>
      <x:c r="H41" t="str">
        <x:f>IF(COUNTA(B41:G41)=0,"",IF(AND(ISNUMBER(B41),C41&lt;&gt;"",D41&lt;&gt;"",E41&lt;&gt;"",ISNUMBER(F41)),"OK","PENDENTE"))</x:f>
      </x:c>
    </x:row>
    <x:row r="42" ht="23" customHeight="1">
      <x:c r="B42" s="50"/>
      <x:c r="C42" s="36"/>
      <x:c r="D42" s="36"/>
      <x:c r="E42" s="36"/>
      <x:c r="F42" s="48"/>
      <x:c r="G42" s="36"/>
      <x:c r="H42" t="str">
        <x:f>IF(COUNTA(B42:G42)=0,"",IF(AND(ISNUMBER(B42),C42&lt;&gt;"",D42&lt;&gt;"",E42&lt;&gt;"",ISNUMBER(F42)),"OK","PENDENTE"))</x:f>
      </x:c>
    </x:row>
    <x:row r="43" ht="23" customHeight="1">
      <x:c r="B43" s="50"/>
      <x:c r="C43" s="36"/>
      <x:c r="D43" s="36"/>
      <x:c r="E43" s="36"/>
      <x:c r="F43" s="48"/>
      <x:c r="G43" s="36"/>
      <x:c r="H43" t="str">
        <x:f>IF(COUNTA(B43:G43)=0,"",IF(AND(ISNUMBER(B43),C43&lt;&gt;"",D43&lt;&gt;"",E43&lt;&gt;"",ISNUMBER(F43)),"OK","PENDENTE"))</x:f>
      </x:c>
    </x:row>
    <x:row r="44" ht="23" customHeight="1">
      <x:c r="B44" s="50"/>
      <x:c r="C44" s="36"/>
      <x:c r="D44" s="36"/>
      <x:c r="E44" s="36"/>
      <x:c r="F44" s="48"/>
      <x:c r="G44" s="36"/>
      <x:c r="H44" t="str">
        <x:f>IF(COUNTA(B44:G44)=0,"",IF(AND(ISNUMBER(B44),C44&lt;&gt;"",D44&lt;&gt;"",E44&lt;&gt;"",ISNUMBER(F44)),"OK","PENDENTE"))</x:f>
      </x:c>
    </x:row>
    <x:row r="45" ht="23" customHeight="1">
      <x:c r="B45" s="50"/>
      <x:c r="C45" s="36"/>
      <x:c r="D45" s="36"/>
      <x:c r="E45" s="36"/>
      <x:c r="F45" s="48"/>
      <x:c r="G45" s="36"/>
      <x:c r="H45" t="str">
        <x:f>IF(COUNTA(B45:G45)=0,"",IF(AND(ISNUMBER(B45),C45&lt;&gt;"",D45&lt;&gt;"",E45&lt;&gt;"",ISNUMBER(F45)),"OK","PENDENTE"))</x:f>
      </x:c>
    </x:row>
    <x:row r="46" ht="23" customHeight="1">
      <x:c r="B46" s="50"/>
      <x:c r="C46" s="36"/>
      <x:c r="D46" s="36"/>
      <x:c r="E46" s="36"/>
      <x:c r="F46" s="48"/>
      <x:c r="G46" s="36"/>
      <x:c r="H46" t="str">
        <x:f>IF(COUNTA(B46:G46)=0,"",IF(AND(ISNUMBER(B46),C46&lt;&gt;"",D46&lt;&gt;"",E46&lt;&gt;"",ISNUMBER(F46)),"OK","PENDENTE"))</x:f>
      </x:c>
    </x:row>
    <x:row r="47" ht="23" customHeight="1">
      <x:c r="B47" s="50"/>
      <x:c r="C47" s="36"/>
      <x:c r="D47" s="36"/>
      <x:c r="E47" s="36"/>
      <x:c r="F47" s="48"/>
      <x:c r="G47" s="36"/>
      <x:c r="H47" t="str">
        <x:f>IF(COUNTA(B47:G47)=0,"",IF(AND(ISNUMBER(B47),C47&lt;&gt;"",D47&lt;&gt;"",E47&lt;&gt;"",ISNUMBER(F47)),"OK","PENDENTE"))</x:f>
      </x:c>
    </x:row>
    <x:row r="48" ht="23" customHeight="1">
      <x:c r="B48" s="50"/>
      <x:c r="C48" s="36"/>
      <x:c r="D48" s="36"/>
      <x:c r="E48" s="36"/>
      <x:c r="F48" s="48"/>
      <x:c r="G48" s="36"/>
      <x:c r="H48" t="str">
        <x:f>IF(COUNTA(B48:G48)=0,"",IF(AND(ISNUMBER(B48),C48&lt;&gt;"",D48&lt;&gt;"",E48&lt;&gt;"",ISNUMBER(F48)),"OK","PENDENTE"))</x:f>
      </x:c>
    </x:row>
    <x:row r="49" ht="23" customHeight="1">
      <x:c r="B49" s="50"/>
      <x:c r="C49" s="36"/>
      <x:c r="D49" s="36"/>
      <x:c r="E49" s="36"/>
      <x:c r="F49" s="48"/>
      <x:c r="G49" s="36"/>
      <x:c r="H49" t="str">
        <x:f>IF(COUNTA(B49:G49)=0,"",IF(AND(ISNUMBER(B49),C49&lt;&gt;"",D49&lt;&gt;"",E49&lt;&gt;"",ISNUMBER(F49)),"OK","PENDENTE"))</x:f>
      </x:c>
    </x:row>
    <x:row r="50" ht="23" customHeight="1">
      <x:c r="B50" s="50"/>
      <x:c r="C50" s="36"/>
      <x:c r="D50" s="36"/>
      <x:c r="E50" s="36"/>
      <x:c r="F50" s="48"/>
      <x:c r="G50" s="36"/>
      <x:c r="H50" t="str">
        <x:f>IF(COUNTA(B50:G50)=0,"",IF(AND(ISNUMBER(B50),C50&lt;&gt;"",D50&lt;&gt;"",E50&lt;&gt;"",ISNUMBER(F50)),"OK","PENDENTE"))</x:f>
      </x:c>
    </x:row>
    <x:row r="51" ht="23" customHeight="1">
      <x:c r="B51" s="50"/>
      <x:c r="C51" s="36"/>
      <x:c r="D51" s="36"/>
      <x:c r="E51" s="36"/>
      <x:c r="F51" s="48"/>
      <x:c r="G51" s="36"/>
      <x:c r="H51" t="str">
        <x:f>IF(COUNTA(B51:G51)=0,"",IF(AND(ISNUMBER(B51),C51&lt;&gt;"",D51&lt;&gt;"",E51&lt;&gt;"",ISNUMBER(F51)),"OK","PENDENTE"))</x:f>
      </x:c>
    </x:row>
    <x:row r="52" ht="23" customHeight="1">
      <x:c r="B52" s="50"/>
      <x:c r="C52" s="36"/>
      <x:c r="D52" s="36"/>
      <x:c r="E52" s="36"/>
      <x:c r="F52" s="48"/>
      <x:c r="G52" s="36"/>
      <x:c r="H52" t="str">
        <x:f>IF(COUNTA(B52:G52)=0,"",IF(AND(ISNUMBER(B52),C52&lt;&gt;"",D52&lt;&gt;"",E52&lt;&gt;"",ISNUMBER(F52)),"OK","PENDENTE"))</x:f>
      </x:c>
    </x:row>
    <x:row r="53" ht="23" customHeight="1">
      <x:c r="B53" s="50"/>
      <x:c r="C53" s="36"/>
      <x:c r="D53" s="36"/>
      <x:c r="E53" s="36"/>
      <x:c r="F53" s="48"/>
      <x:c r="G53" s="36"/>
      <x:c r="H53" t="str">
        <x:f>IF(COUNTA(B53:G53)=0,"",IF(AND(ISNUMBER(B53),C53&lt;&gt;"",D53&lt;&gt;"",E53&lt;&gt;"",ISNUMBER(F53)),"OK","PENDENTE"))</x:f>
      </x:c>
    </x:row>
    <x:row r="54" ht="23" customHeight="1">
      <x:c r="B54" s="50"/>
      <x:c r="C54" s="36"/>
      <x:c r="D54" s="36"/>
      <x:c r="E54" s="36"/>
      <x:c r="F54" s="48"/>
      <x:c r="G54" s="36"/>
      <x:c r="H54" t="str">
        <x:f>IF(COUNTA(B54:G54)=0,"",IF(AND(ISNUMBER(B54),C54&lt;&gt;"",D54&lt;&gt;"",E54&lt;&gt;"",ISNUMBER(F54)),"OK","PENDENTE"))</x:f>
      </x:c>
    </x:row>
    <x:row r="55" ht="23" customHeight="1">
      <x:c r="B55" s="50"/>
      <x:c r="C55" s="36"/>
      <x:c r="D55" s="36"/>
      <x:c r="E55" s="36"/>
      <x:c r="F55" s="48"/>
      <x:c r="G55" s="36"/>
      <x:c r="H55" t="str">
        <x:f>IF(COUNTA(B55:G55)=0,"",IF(AND(ISNUMBER(B55),C55&lt;&gt;"",D55&lt;&gt;"",E55&lt;&gt;"",ISNUMBER(F55)),"OK","PENDENTE"))</x:f>
      </x:c>
    </x:row>
    <x:row r="56" ht="23" customHeight="1">
      <x:c r="B56" s="50"/>
      <x:c r="C56" s="36"/>
      <x:c r="D56" s="36"/>
      <x:c r="E56" s="36"/>
      <x:c r="F56" s="48"/>
      <x:c r="G56" s="36"/>
      <x:c r="H56" t="str">
        <x:f>IF(COUNTA(B56:G56)=0,"",IF(AND(ISNUMBER(B56),C56&lt;&gt;"",D56&lt;&gt;"",E56&lt;&gt;"",ISNUMBER(F56)),"OK","PENDENTE"))</x:f>
      </x:c>
    </x:row>
    <x:row r="57" ht="23" customHeight="1">
      <x:c r="B57" s="50"/>
      <x:c r="C57" s="36"/>
      <x:c r="D57" s="36"/>
      <x:c r="E57" s="36"/>
      <x:c r="F57" s="48"/>
      <x:c r="G57" s="36"/>
      <x:c r="H57" t="str">
        <x:f>IF(COUNTA(B57:G57)=0,"",IF(AND(ISNUMBER(B57),C57&lt;&gt;"",D57&lt;&gt;"",E57&lt;&gt;"",ISNUMBER(F57)),"OK","PENDENTE"))</x:f>
      </x:c>
    </x:row>
    <x:row r="58" ht="23" customHeight="1">
      <x:c r="B58" s="50"/>
      <x:c r="C58" s="36"/>
      <x:c r="D58" s="36"/>
      <x:c r="E58" s="36"/>
      <x:c r="F58" s="48"/>
      <x:c r="G58" s="36"/>
      <x:c r="H58" t="str">
        <x:f>IF(COUNTA(B58:G58)=0,"",IF(AND(ISNUMBER(B58),C58&lt;&gt;"",D58&lt;&gt;"",E58&lt;&gt;"",ISNUMBER(F58)),"OK","PENDENTE"))</x:f>
      </x:c>
    </x:row>
    <x:row r="59" ht="23" customHeight="1">
      <x:c r="B59" s="50"/>
      <x:c r="C59" s="36"/>
      <x:c r="D59" s="36"/>
      <x:c r="E59" s="36"/>
      <x:c r="F59" s="48"/>
      <x:c r="G59" s="36"/>
      <x:c r="H59" t="str">
        <x:f>IF(COUNTA(B59:G59)=0,"",IF(AND(ISNUMBER(B59),C59&lt;&gt;"",D59&lt;&gt;"",E59&lt;&gt;"",ISNUMBER(F59)),"OK","PENDENTE"))</x:f>
      </x:c>
    </x:row>
    <x:row r="60" ht="23" customHeight="1">
      <x:c r="B60" s="50"/>
      <x:c r="C60" s="36"/>
      <x:c r="D60" s="36"/>
      <x:c r="E60" s="36"/>
      <x:c r="F60" s="48"/>
      <x:c r="G60" s="36"/>
      <x:c r="H60" t="str">
        <x:f>IF(COUNTA(B60:G60)=0,"",IF(AND(ISNUMBER(B60),C60&lt;&gt;"",D60&lt;&gt;"",E60&lt;&gt;"",ISNUMBER(F60)),"OK","PENDENTE"))</x:f>
      </x:c>
    </x:row>
    <x:row r="61">
      <x:c r="B61" s="50"/>
      <x:c r="C61" s="36"/>
      <x:c r="D61" s="36"/>
      <x:c r="E61" s="36"/>
      <x:c r="F61" s="48"/>
      <x:c r="G61" s="36"/>
      <x:c r="H61" t="str">
        <x:f>IF(COUNTA(B61:G61)=0,"",IF(AND(ISNUMBER(B61),C61&lt;&gt;"",D61&lt;&gt;"",E61&lt;&gt;"",ISNUMBER(F61)),"OK","PENDENTE"))</x:f>
      </x:c>
    </x:row>
    <x:row r="62">
      <x:c r="B62" s="50"/>
      <x:c r="C62" s="36"/>
      <x:c r="D62" s="36"/>
      <x:c r="E62" s="36"/>
      <x:c r="F62" s="48"/>
      <x:c r="G62" s="36"/>
      <x:c r="H62" t="str">
        <x:f>IF(COUNTA(B62:G62)=0,"",IF(AND(ISNUMBER(B62),C62&lt;&gt;"",D62&lt;&gt;"",E62&lt;&gt;"",ISNUMBER(F62)),"OK","PENDENTE"))</x:f>
      </x:c>
    </x:row>
    <x:row r="63">
      <x:c r="B63" s="50"/>
      <x:c r="C63" s="36"/>
      <x:c r="D63" s="36"/>
      <x:c r="E63" s="36"/>
      <x:c r="F63" s="48"/>
      <x:c r="G63" s="36"/>
      <x:c r="H63" t="str">
        <x:f>IF(COUNTA(B63:G63)=0,"",IF(AND(ISNUMBER(B63),C63&lt;&gt;"",D63&lt;&gt;"",E63&lt;&gt;"",ISNUMBER(F63)),"OK","PENDENTE"))</x:f>
      </x:c>
    </x:row>
    <x:row r="64">
      <x:c r="B64" s="50"/>
      <x:c r="C64" s="36"/>
      <x:c r="D64" s="36"/>
      <x:c r="E64" s="36"/>
      <x:c r="F64" s="48"/>
      <x:c r="G64" s="36"/>
      <x:c r="H64" t="str">
        <x:f>IF(COUNTA(B64:G64)=0,"",IF(AND(ISNUMBER(B64),C64&lt;&gt;"",D64&lt;&gt;"",E64&lt;&gt;"",ISNUMBER(F64)),"OK","PENDENTE"))</x:f>
      </x:c>
    </x:row>
    <x:row r="65">
      <x:c r="B65" s="50"/>
      <x:c r="C65" s="36"/>
      <x:c r="D65" s="36"/>
      <x:c r="E65" s="36"/>
      <x:c r="F65" s="48"/>
      <x:c r="G65" s="36"/>
      <x:c r="H65" t="str">
        <x:f>IF(COUNTA(B65:G65)=0,"",IF(AND(ISNUMBER(B65),C65&lt;&gt;"",D65&lt;&gt;"",E65&lt;&gt;"",ISNUMBER(F65)),"OK","PENDENTE"))</x:f>
      </x:c>
    </x:row>
    <x:row r="66">
      <x:c r="B66" s="50"/>
      <x:c r="C66" s="36"/>
      <x:c r="D66" s="36"/>
      <x:c r="E66" s="36"/>
      <x:c r="F66" s="48"/>
      <x:c r="G66" s="36"/>
      <x:c r="H66" t="str">
        <x:f>IF(COUNTA(B66:G66)=0,"",IF(AND(ISNUMBER(B66),C66&lt;&gt;"",D66&lt;&gt;"",E66&lt;&gt;"",ISNUMBER(F66)),"OK","PENDENTE"))</x:f>
      </x:c>
    </x:row>
    <x:row r="67">
      <x:c r="B67" s="50"/>
      <x:c r="C67" s="36"/>
      <x:c r="D67" s="36"/>
      <x:c r="E67" s="36"/>
      <x:c r="F67" s="48"/>
      <x:c r="G67" s="36"/>
      <x:c r="H67" t="str">
        <x:f>IF(COUNTA(B67:G67)=0,"",IF(AND(ISNUMBER(B67),C67&lt;&gt;"",D67&lt;&gt;"",E67&lt;&gt;"",ISNUMBER(F67)),"OK","PENDENTE"))</x:f>
      </x:c>
    </x:row>
    <x:row r="68">
      <x:c r="B68" s="50"/>
      <x:c r="C68" s="36"/>
      <x:c r="D68" s="36"/>
      <x:c r="E68" s="36"/>
      <x:c r="F68" s="48"/>
      <x:c r="G68" s="36"/>
      <x:c r="H68" t="str">
        <x:f>IF(COUNTA(B68:G68)=0,"",IF(AND(ISNUMBER(B68),C68&lt;&gt;"",D68&lt;&gt;"",E68&lt;&gt;"",ISNUMBER(F68)),"OK","PENDENTE"))</x:f>
      </x:c>
    </x:row>
    <x:row r="69">
      <x:c r="B69" s="50"/>
      <x:c r="C69" s="36"/>
      <x:c r="D69" s="36"/>
      <x:c r="E69" s="36"/>
      <x:c r="F69" s="48"/>
      <x:c r="G69" s="36"/>
      <x:c r="H69" t="str">
        <x:f>IF(COUNTA(B69:G69)=0,"",IF(AND(ISNUMBER(B69),C69&lt;&gt;"",D69&lt;&gt;"",E69&lt;&gt;"",ISNUMBER(F69)),"OK","PENDENTE"))</x:f>
      </x:c>
    </x:row>
    <x:row r="70">
      <x:c r="B70" s="50"/>
      <x:c r="C70" s="36"/>
      <x:c r="D70" s="36"/>
      <x:c r="E70" s="36"/>
      <x:c r="F70" s="48"/>
      <x:c r="G70" s="36"/>
      <x:c r="H70" t="str">
        <x:f>IF(COUNTA(B70:G70)=0,"",IF(AND(ISNUMBER(B70),C70&lt;&gt;"",D70&lt;&gt;"",E70&lt;&gt;"",ISNUMBER(F70)),"OK","PENDENTE"))</x:f>
      </x:c>
    </x:row>
    <x:row r="71">
      <x:c r="B71" s="50"/>
      <x:c r="C71" s="36"/>
      <x:c r="D71" s="36"/>
      <x:c r="E71" s="36"/>
      <x:c r="F71" s="48"/>
      <x:c r="G71" s="36"/>
      <x:c r="H71" t="str">
        <x:f>IF(COUNTA(B71:G71)=0,"",IF(AND(ISNUMBER(B71),C71&lt;&gt;"",D71&lt;&gt;"",E71&lt;&gt;"",ISNUMBER(F71)),"OK","PENDENTE"))</x:f>
      </x:c>
    </x:row>
    <x:row r="72">
      <x:c r="B72" s="50"/>
      <x:c r="C72" s="36"/>
      <x:c r="D72" s="36"/>
      <x:c r="E72" s="36"/>
      <x:c r="F72" s="48"/>
      <x:c r="G72" s="36"/>
      <x:c r="H72" t="str">
        <x:f>IF(COUNTA(B72:G72)=0,"",IF(AND(ISNUMBER(B72),C72&lt;&gt;"",D72&lt;&gt;"",E72&lt;&gt;"",ISNUMBER(F72)),"OK","PENDENTE"))</x:f>
      </x:c>
    </x:row>
    <x:row r="73">
      <x:c r="B73" s="50"/>
      <x:c r="C73" s="36"/>
      <x:c r="D73" s="36"/>
      <x:c r="E73" s="36"/>
      <x:c r="F73" s="48"/>
      <x:c r="G73" s="36"/>
      <x:c r="H73" t="str">
        <x:f>IF(COUNTA(B73:G73)=0,"",IF(AND(ISNUMBER(B73),C73&lt;&gt;"",D73&lt;&gt;"",E73&lt;&gt;"",ISNUMBER(F73)),"OK","PENDENTE"))</x:f>
      </x:c>
    </x:row>
    <x:row r="74">
      <x:c r="B74" s="50"/>
      <x:c r="C74" s="36"/>
      <x:c r="D74" s="36"/>
      <x:c r="E74" s="36"/>
      <x:c r="F74" s="48"/>
      <x:c r="G74" s="36"/>
      <x:c r="H74" t="str">
        <x:f>IF(COUNTA(B74:G74)=0,"",IF(AND(ISNUMBER(B74),C74&lt;&gt;"",D74&lt;&gt;"",E74&lt;&gt;"",ISNUMBER(F74)),"OK","PENDENTE"))</x:f>
      </x:c>
    </x:row>
    <x:row r="75">
      <x:c r="B75" s="50"/>
      <x:c r="C75" s="36"/>
      <x:c r="D75" s="36"/>
      <x:c r="E75" s="36"/>
      <x:c r="F75" s="48"/>
      <x:c r="G75" s="36"/>
      <x:c r="H75" t="str">
        <x:f>IF(COUNTA(B75:G75)=0,"",IF(AND(ISNUMBER(B75),C75&lt;&gt;"",D75&lt;&gt;"",E75&lt;&gt;"",ISNUMBER(F75)),"OK","PENDENTE"))</x:f>
      </x:c>
    </x:row>
    <x:row r="76">
      <x:c r="B76" s="50"/>
      <x:c r="C76" s="36"/>
      <x:c r="D76" s="36"/>
      <x:c r="E76" s="36"/>
      <x:c r="F76" s="48"/>
      <x:c r="G76" s="36"/>
      <x:c r="H76" t="str">
        <x:f>IF(COUNTA(B76:G76)=0,"",IF(AND(ISNUMBER(B76),C76&lt;&gt;"",D76&lt;&gt;"",E76&lt;&gt;"",ISNUMBER(F76)),"OK","PENDENTE"))</x:f>
      </x:c>
    </x:row>
    <x:row r="77">
      <x:c r="B77" s="50"/>
      <x:c r="C77" s="36"/>
      <x:c r="D77" s="36"/>
      <x:c r="E77" s="36"/>
      <x:c r="F77" s="48"/>
      <x:c r="G77" s="36"/>
      <x:c r="H77" t="str">
        <x:f>IF(COUNTA(B77:G77)=0,"",IF(AND(ISNUMBER(B77),C77&lt;&gt;"",D77&lt;&gt;"",E77&lt;&gt;"",ISNUMBER(F77)),"OK","PENDENTE"))</x:f>
      </x:c>
    </x:row>
    <x:row r="78">
      <x:c r="B78" s="50"/>
      <x:c r="C78" s="36"/>
      <x:c r="D78" s="36"/>
      <x:c r="E78" s="36"/>
      <x:c r="F78" s="48"/>
      <x:c r="G78" s="36"/>
      <x:c r="H78" t="str">
        <x:f>IF(COUNTA(B78:G78)=0,"",IF(AND(ISNUMBER(B78),C78&lt;&gt;"",D78&lt;&gt;"",E78&lt;&gt;"",ISNUMBER(F78)),"OK","PENDENTE"))</x:f>
      </x:c>
    </x:row>
    <x:row r="79">
      <x:c r="B79" s="50"/>
      <x:c r="C79" s="36"/>
      <x:c r="D79" s="36"/>
      <x:c r="E79" s="36"/>
      <x:c r="F79" s="48"/>
      <x:c r="G79" s="36"/>
      <x:c r="H79" t="str">
        <x:f>IF(COUNTA(B79:G79)=0,"",IF(AND(ISNUMBER(B79),C79&lt;&gt;"",D79&lt;&gt;"",E79&lt;&gt;"",ISNUMBER(F79)),"OK","PENDENTE"))</x:f>
      </x:c>
    </x:row>
    <x:row r="80">
      <x:c r="B80" s="50"/>
      <x:c r="C80" s="36"/>
      <x:c r="D80" s="36"/>
      <x:c r="E80" s="36"/>
      <x:c r="F80" s="48"/>
      <x:c r="G80" s="36"/>
      <x:c r="H80" t="str">
        <x:f>IF(COUNTA(B80:G80)=0,"",IF(AND(ISNUMBER(B80),C80&lt;&gt;"",D80&lt;&gt;"",E80&lt;&gt;"",ISNUMBER(F80)),"OK","PENDENTE"))</x:f>
      </x:c>
    </x:row>
    <x:row r="81">
      <x:c r="B81" s="50"/>
      <x:c r="C81" s="36"/>
      <x:c r="D81" s="36"/>
      <x:c r="E81" s="36"/>
      <x:c r="F81" s="48"/>
      <x:c r="G81" s="36"/>
      <x:c r="H81" t="str">
        <x:f>IF(COUNTA(B81:G81)=0,"",IF(AND(ISNUMBER(B81),C81&lt;&gt;"",D81&lt;&gt;"",E81&lt;&gt;"",ISNUMBER(F81)),"OK","PENDENTE"))</x:f>
      </x:c>
    </x:row>
    <x:row r="82">
      <x:c r="B82" s="50"/>
      <x:c r="C82" s="36"/>
      <x:c r="D82" s="36"/>
      <x:c r="E82" s="36"/>
      <x:c r="F82" s="48"/>
      <x:c r="G82" s="36"/>
      <x:c r="H82" t="str">
        <x:f>IF(COUNTA(B82:G82)=0,"",IF(AND(ISNUMBER(B82),C82&lt;&gt;"",D82&lt;&gt;"",E82&lt;&gt;"",ISNUMBER(F82)),"OK","PENDENTE"))</x:f>
      </x:c>
    </x:row>
    <x:row r="83">
      <x:c r="B83" s="50"/>
      <x:c r="C83" s="36"/>
      <x:c r="D83" s="36"/>
      <x:c r="E83" s="36"/>
      <x:c r="F83" s="48"/>
      <x:c r="G83" s="36"/>
      <x:c r="H83" t="str">
        <x:f>IF(COUNTA(B83:G83)=0,"",IF(AND(ISNUMBER(B83),C83&lt;&gt;"",D83&lt;&gt;"",E83&lt;&gt;"",ISNUMBER(F83)),"OK","PENDENTE"))</x:f>
      </x:c>
    </x:row>
    <x:row r="84">
      <x:c r="B84" s="50"/>
      <x:c r="C84" s="36"/>
      <x:c r="D84" s="36"/>
      <x:c r="E84" s="36"/>
      <x:c r="F84" s="48"/>
      <x:c r="G84" s="36"/>
      <x:c r="H84" t="str">
        <x:f>IF(COUNTA(B84:G84)=0,"",IF(AND(ISNUMBER(B84),C84&lt;&gt;"",D84&lt;&gt;"",E84&lt;&gt;"",ISNUMBER(F84)),"OK","PENDENTE"))</x:f>
      </x:c>
    </x:row>
    <x:row r="85">
      <x:c r="B85" s="50"/>
      <x:c r="C85" s="36"/>
      <x:c r="D85" s="36"/>
      <x:c r="E85" s="36"/>
      <x:c r="F85" s="48"/>
      <x:c r="G85" s="36"/>
      <x:c r="H85" t="str">
        <x:f>IF(COUNTA(B85:G85)=0,"",IF(AND(ISNUMBER(B85),C85&lt;&gt;"",D85&lt;&gt;"",E85&lt;&gt;"",ISNUMBER(F85)),"OK","PENDENTE"))</x:f>
      </x:c>
    </x:row>
    <x:row r="86">
      <x:c r="B86" s="50"/>
      <x:c r="C86" s="36"/>
      <x:c r="D86" s="36"/>
      <x:c r="E86" s="36"/>
      <x:c r="F86" s="48"/>
      <x:c r="G86" s="36"/>
      <x:c r="H86" t="str">
        <x:f>IF(COUNTA(B86:G86)=0,"",IF(AND(ISNUMBER(B86),C86&lt;&gt;"",D86&lt;&gt;"",E86&lt;&gt;"",ISNUMBER(F86)),"OK","PENDENTE"))</x:f>
      </x:c>
    </x:row>
    <x:row r="87">
      <x:c r="B87" s="50"/>
      <x:c r="C87" s="36"/>
      <x:c r="D87" s="36"/>
      <x:c r="E87" s="36"/>
      <x:c r="F87" s="48"/>
      <x:c r="G87" s="36"/>
      <x:c r="H87" t="str">
        <x:f>IF(COUNTA(B87:G87)=0,"",IF(AND(ISNUMBER(B87),C87&lt;&gt;"",D87&lt;&gt;"",E87&lt;&gt;"",ISNUMBER(F87)),"OK","PENDENTE"))</x:f>
      </x:c>
    </x:row>
    <x:row r="88">
      <x:c r="B88" s="50"/>
      <x:c r="C88" s="36"/>
      <x:c r="D88" s="36"/>
      <x:c r="E88" s="36"/>
      <x:c r="F88" s="48"/>
      <x:c r="G88" s="36"/>
      <x:c r="H88" t="str">
        <x:f>IF(COUNTA(B88:G88)=0,"",IF(AND(ISNUMBER(B88),C88&lt;&gt;"",D88&lt;&gt;"",E88&lt;&gt;"",ISNUMBER(F88)),"OK","PENDENTE"))</x:f>
      </x:c>
    </x:row>
    <x:row r="89">
      <x:c r="B89" s="50"/>
      <x:c r="C89" s="36"/>
      <x:c r="D89" s="36"/>
      <x:c r="E89" s="36"/>
      <x:c r="F89" s="48"/>
      <x:c r="G89" s="36"/>
      <x:c r="H89" t="str">
        <x:f>IF(COUNTA(B89:G89)=0,"",IF(AND(ISNUMBER(B89),C89&lt;&gt;"",D89&lt;&gt;"",E89&lt;&gt;"",ISNUMBER(F89)),"OK","PENDENTE"))</x:f>
      </x:c>
    </x:row>
    <x:row r="90">
      <x:c r="B90" s="50"/>
      <x:c r="C90" s="36"/>
      <x:c r="D90" s="36"/>
      <x:c r="E90" s="36"/>
      <x:c r="F90" s="48"/>
      <x:c r="G90" s="36"/>
      <x:c r="H90" t="str">
        <x:f>IF(COUNTA(B90:G90)=0,"",IF(AND(ISNUMBER(B90),C90&lt;&gt;"",D90&lt;&gt;"",E90&lt;&gt;"",ISNUMBER(F90)),"OK","PENDENTE"))</x:f>
      </x:c>
    </x:row>
    <x:row r="91">
      <x:c r="B91" s="50"/>
      <x:c r="C91" s="36"/>
      <x:c r="D91" s="36"/>
      <x:c r="E91" s="36"/>
      <x:c r="F91" s="48"/>
      <x:c r="G91" s="36"/>
      <x:c r="H91" t="str">
        <x:f>IF(COUNTA(B91:G91)=0,"",IF(AND(ISNUMBER(B91),C91&lt;&gt;"",D91&lt;&gt;"",E91&lt;&gt;"",ISNUMBER(F91)),"OK","PENDENTE"))</x:f>
      </x:c>
    </x:row>
    <x:row r="92">
      <x:c r="B92" s="50"/>
      <x:c r="C92" s="36"/>
      <x:c r="D92" s="36"/>
      <x:c r="E92" s="36"/>
      <x:c r="F92" s="48"/>
      <x:c r="G92" s="36"/>
      <x:c r="H92" t="str">
        <x:f>IF(COUNTA(B92:G92)=0,"",IF(AND(ISNUMBER(B92),C92&lt;&gt;"",D92&lt;&gt;"",E92&lt;&gt;"",ISNUMBER(F92)),"OK","PENDENTE"))</x:f>
      </x:c>
    </x:row>
    <x:row r="93">
      <x:c r="B93" s="50"/>
      <x:c r="C93" s="36"/>
      <x:c r="D93" s="36"/>
      <x:c r="E93" s="36"/>
      <x:c r="F93" s="48"/>
      <x:c r="G93" s="36"/>
      <x:c r="H93" t="str">
        <x:f>IF(COUNTA(B93:G93)=0,"",IF(AND(ISNUMBER(B93),C93&lt;&gt;"",D93&lt;&gt;"",E93&lt;&gt;"",ISNUMBER(F93)),"OK","PENDENTE"))</x:f>
      </x:c>
    </x:row>
    <x:row r="94">
      <x:c r="B94" s="50"/>
      <x:c r="C94" s="36"/>
      <x:c r="D94" s="36"/>
      <x:c r="E94" s="36"/>
      <x:c r="F94" s="48"/>
      <x:c r="G94" s="36"/>
      <x:c r="H94" t="str">
        <x:f>IF(COUNTA(B94:G94)=0,"",IF(AND(ISNUMBER(B94),C94&lt;&gt;"",D94&lt;&gt;"",E94&lt;&gt;"",ISNUMBER(F94)),"OK","PENDENTE"))</x:f>
      </x:c>
    </x:row>
    <x:row r="95">
      <x:c r="B95" s="50"/>
      <x:c r="C95" s="36"/>
      <x:c r="D95" s="36"/>
      <x:c r="E95" s="36"/>
      <x:c r="F95" s="48"/>
      <x:c r="G95" s="36"/>
      <x:c r="H95" t="str">
        <x:f>IF(COUNTA(B95:G95)=0,"",IF(AND(ISNUMBER(B95),C95&lt;&gt;"",D95&lt;&gt;"",E95&lt;&gt;"",ISNUMBER(F95)),"OK","PENDENTE"))</x:f>
      </x:c>
    </x:row>
    <x:row r="96">
      <x:c r="B96" s="50"/>
      <x:c r="C96" s="36"/>
      <x:c r="D96" s="36"/>
      <x:c r="E96" s="36"/>
      <x:c r="F96" s="48"/>
      <x:c r="G96" s="36"/>
      <x:c r="H96" t="str">
        <x:f>IF(COUNTA(B96:G96)=0,"",IF(AND(ISNUMBER(B96),C96&lt;&gt;"",D96&lt;&gt;"",E96&lt;&gt;"",ISNUMBER(F96)),"OK","PENDENTE"))</x:f>
      </x:c>
    </x:row>
    <x:row r="97">
      <x:c r="B97" s="50"/>
      <x:c r="C97" s="36"/>
      <x:c r="D97" s="36"/>
      <x:c r="E97" s="36"/>
      <x:c r="F97" s="48"/>
      <x:c r="G97" s="36"/>
      <x:c r="H97" t="str">
        <x:f>IF(COUNTA(B97:G97)=0,"",IF(AND(ISNUMBER(B97),C97&lt;&gt;"",D97&lt;&gt;"",E97&lt;&gt;"",ISNUMBER(F97)),"OK","PENDENTE"))</x:f>
      </x:c>
    </x:row>
    <x:row r="98">
      <x:c r="B98" s="50"/>
      <x:c r="C98" s="36"/>
      <x:c r="D98" s="36"/>
      <x:c r="E98" s="36"/>
      <x:c r="F98" s="48"/>
      <x:c r="G98" s="36"/>
      <x:c r="H98" t="str">
        <x:f>IF(COUNTA(B98:G98)=0,"",IF(AND(ISNUMBER(B98),C98&lt;&gt;"",D98&lt;&gt;"",E98&lt;&gt;"",ISNUMBER(F98)),"OK","PENDENTE"))</x:f>
      </x:c>
    </x:row>
    <x:row r="99">
      <x:c r="B99" s="50"/>
      <x:c r="C99" s="36"/>
      <x:c r="D99" s="36"/>
      <x:c r="E99" s="36"/>
      <x:c r="F99" s="48"/>
      <x:c r="G99" s="36"/>
      <x:c r="H99" t="str">
        <x:f>IF(COUNTA(B99:G99)=0,"",IF(AND(ISNUMBER(B99),C99&lt;&gt;"",D99&lt;&gt;"",E99&lt;&gt;"",ISNUMBER(F99)),"OK","PENDENTE"))</x:f>
      </x:c>
    </x:row>
    <x:row r="100">
      <x:c r="B100" s="50"/>
      <x:c r="C100" s="36"/>
      <x:c r="D100" s="36"/>
      <x:c r="E100" s="36"/>
      <x:c r="F100" s="48"/>
      <x:c r="G100" s="36"/>
      <x:c r="H100" t="str">
        <x:f>IF(COUNTA(B100:G100)=0,"",IF(AND(ISNUMBER(B100),C100&lt;&gt;"",D100&lt;&gt;"",E100&lt;&gt;"",ISNUMBER(F100)),"OK","PENDENTE"))</x:f>
      </x:c>
    </x:row>
    <x:row r="101">
      <x:c r="B101" s="50"/>
      <x:c r="C101" s="36"/>
      <x:c r="D101" s="36"/>
      <x:c r="E101" s="36"/>
      <x:c r="F101" s="48"/>
      <x:c r="G101" s="36"/>
      <x:c r="H101" t="str">
        <x:f>IF(COUNTA(B101:G101)=0,"",IF(AND(ISNUMBER(B101),C101&lt;&gt;"",D101&lt;&gt;"",E101&lt;&gt;"",ISNUMBER(F101)),"OK","PENDENTE"))</x:f>
      </x:c>
    </x:row>
    <x:row r="102">
      <x:c r="B102" s="50"/>
      <x:c r="C102" s="36"/>
      <x:c r="D102" s="36"/>
      <x:c r="E102" s="36"/>
      <x:c r="F102" s="48"/>
      <x:c r="G102" s="36"/>
      <x:c r="H102" t="str">
        <x:f>IF(COUNTA(B102:G102)=0,"",IF(AND(ISNUMBER(B102),C102&lt;&gt;"",D102&lt;&gt;"",E102&lt;&gt;"",ISNUMBER(F102)),"OK","PENDENTE"))</x:f>
      </x:c>
    </x:row>
    <x:row r="103">
      <x:c r="B103" s="50"/>
      <x:c r="C103" s="36"/>
      <x:c r="D103" s="36"/>
      <x:c r="E103" s="36"/>
      <x:c r="F103" s="48"/>
      <x:c r="G103" s="36"/>
      <x:c r="H103" t="str">
        <x:f>IF(COUNTA(B103:G103)=0,"",IF(AND(ISNUMBER(B103),C103&lt;&gt;"",D103&lt;&gt;"",E103&lt;&gt;"",ISNUMBER(F103)),"OK","PENDENTE"))</x:f>
      </x:c>
    </x:row>
    <x:row r="104">
      <x:c r="B104" s="50"/>
      <x:c r="C104" s="36"/>
      <x:c r="D104" s="36"/>
      <x:c r="E104" s="36"/>
      <x:c r="F104" s="48"/>
      <x:c r="G104" s="36"/>
      <x:c r="H104" t="str">
        <x:f>IF(COUNTA(B104:G104)=0,"",IF(AND(ISNUMBER(B104),C104&lt;&gt;"",D104&lt;&gt;"",E104&lt;&gt;"",ISNUMBER(F104)),"OK","PENDENTE"))</x:f>
      </x:c>
    </x:row>
    <x:row r="105">
      <x:c r="B105" s="50"/>
      <x:c r="C105" s="36"/>
      <x:c r="D105" s="36"/>
      <x:c r="E105" s="36"/>
      <x:c r="F105" s="48"/>
      <x:c r="G105" s="36"/>
      <x:c r="H105" t="str">
        <x:f>IF(COUNTA(B105:G105)=0,"",IF(AND(ISNUMBER(B105),C105&lt;&gt;"",D105&lt;&gt;"",E105&lt;&gt;"",ISNUMBER(F105)),"OK","PENDENTE"))</x:f>
      </x:c>
    </x:row>
    <x:row r="106">
      <x:c r="B106" s="50"/>
      <x:c r="C106" s="36"/>
      <x:c r="D106" s="36"/>
      <x:c r="E106" s="36"/>
      <x:c r="F106" s="48"/>
      <x:c r="G106" s="36"/>
      <x:c r="H106" t="str">
        <x:f>IF(COUNTA(B106:G106)=0,"",IF(AND(ISNUMBER(B106),C106&lt;&gt;"",D106&lt;&gt;"",E106&lt;&gt;"",ISNUMBER(F106)),"OK","PENDENTE"))</x:f>
      </x:c>
    </x:row>
    <x:row r="107">
      <x:c r="B107" s="50"/>
      <x:c r="C107" s="36"/>
      <x:c r="D107" s="36"/>
      <x:c r="E107" s="36"/>
      <x:c r="F107" s="48"/>
      <x:c r="G107" s="36"/>
      <x:c r="H107" t="str">
        <x:f>IF(COUNTA(B107:G107)=0,"",IF(AND(ISNUMBER(B107),C107&lt;&gt;"",D107&lt;&gt;"",E107&lt;&gt;"",ISNUMBER(F107)),"OK","PENDENTE"))</x:f>
      </x:c>
    </x:row>
    <x:row r="108">
      <x:c r="B108" s="50"/>
      <x:c r="C108" s="36"/>
      <x:c r="D108" s="36"/>
      <x:c r="E108" s="36"/>
      <x:c r="F108" s="48"/>
      <x:c r="G108" s="36"/>
      <x:c r="H108" t="str">
        <x:f>IF(COUNTA(B108:G108)=0,"",IF(AND(ISNUMBER(B108),C108&lt;&gt;"",D108&lt;&gt;"",E108&lt;&gt;"",ISNUMBER(F108)),"OK","PENDENTE"))</x:f>
      </x:c>
    </x:row>
    <x:row r="109">
      <x:c r="B109" s="50"/>
      <x:c r="C109" s="36"/>
      <x:c r="D109" s="36"/>
      <x:c r="E109" s="36"/>
      <x:c r="F109" s="48"/>
      <x:c r="G109" s="36"/>
      <x:c r="H109" t="str">
        <x:f>IF(COUNTA(B109:G109)=0,"",IF(AND(ISNUMBER(B109),C109&lt;&gt;"",D109&lt;&gt;"",E109&lt;&gt;"",ISNUMBER(F109)),"OK","PENDENTE"))</x:f>
      </x:c>
    </x:row>
    <x:row r="110">
      <x:c r="B110" s="50"/>
      <x:c r="C110" s="36"/>
      <x:c r="D110" s="36"/>
      <x:c r="E110" s="36"/>
      <x:c r="F110" s="48"/>
      <x:c r="G110" s="36"/>
      <x:c r="H110" t="str">
        <x:f>IF(COUNTA(B110:G110)=0,"",IF(AND(ISNUMBER(B110),C110&lt;&gt;"",D110&lt;&gt;"",E110&lt;&gt;"",ISNUMBER(F110)),"OK","PENDENTE"))</x:f>
      </x:c>
    </x:row>
    <x:row r="111">
      <x:c r="B111" s="50"/>
      <x:c r="C111" s="36"/>
      <x:c r="D111" s="36"/>
      <x:c r="E111" s="36"/>
      <x:c r="F111" s="48"/>
      <x:c r="G111" s="36"/>
      <x:c r="H111" t="str">
        <x:f>IF(COUNTA(B111:G111)=0,"",IF(AND(ISNUMBER(B111),C111&lt;&gt;"",D111&lt;&gt;"",E111&lt;&gt;"",ISNUMBER(F111)),"OK","PENDENTE"))</x:f>
      </x:c>
    </x:row>
    <x:row r="112">
      <x:c r="B112" s="50"/>
      <x:c r="C112" s="36"/>
      <x:c r="D112" s="36"/>
      <x:c r="E112" s="36"/>
      <x:c r="F112" s="48"/>
      <x:c r="G112" s="36"/>
      <x:c r="H112" t="str">
        <x:f>IF(COUNTA(B112:G112)=0,"",IF(AND(ISNUMBER(B112),C112&lt;&gt;"",D112&lt;&gt;"",E112&lt;&gt;"",ISNUMBER(F112)),"OK","PENDENTE"))</x:f>
      </x:c>
    </x:row>
    <x:row r="113">
      <x:c r="B113" s="50"/>
      <x:c r="C113" s="36"/>
      <x:c r="D113" s="36"/>
      <x:c r="E113" s="36"/>
      <x:c r="F113" s="48"/>
      <x:c r="G113" s="36"/>
      <x:c r="H113" t="str">
        <x:f>IF(COUNTA(B113:G113)=0,"",IF(AND(ISNUMBER(B113),C113&lt;&gt;"",D113&lt;&gt;"",E113&lt;&gt;"",ISNUMBER(F113)),"OK","PENDENTE"))</x:f>
      </x:c>
    </x:row>
    <x:row r="114">
      <x:c r="B114" s="50"/>
      <x:c r="C114" s="36"/>
      <x:c r="D114" s="36"/>
      <x:c r="E114" s="36"/>
      <x:c r="F114" s="48"/>
      <x:c r="G114" s="36"/>
      <x:c r="H114" t="str">
        <x:f>IF(COUNTA(B114:G114)=0,"",IF(AND(ISNUMBER(B114),C114&lt;&gt;"",D114&lt;&gt;"",E114&lt;&gt;"",ISNUMBER(F114)),"OK","PENDENTE"))</x:f>
      </x:c>
    </x:row>
    <x:row r="115">
      <x:c r="B115" s="50"/>
      <x:c r="C115" s="36"/>
      <x:c r="D115" s="36"/>
      <x:c r="E115" s="36"/>
      <x:c r="F115" s="48"/>
      <x:c r="G115" s="36"/>
      <x:c r="H115" t="str">
        <x:f>IF(COUNTA(B115:G115)=0,"",IF(AND(ISNUMBER(B115),C115&lt;&gt;"",D115&lt;&gt;"",E115&lt;&gt;"",ISNUMBER(F115)),"OK","PENDENTE"))</x:f>
      </x:c>
    </x:row>
    <x:row r="116">
      <x:c r="B116" s="50"/>
      <x:c r="C116" s="36"/>
      <x:c r="D116" s="36"/>
      <x:c r="E116" s="36"/>
      <x:c r="F116" s="48"/>
      <x:c r="G116" s="36"/>
      <x:c r="H116" t="str">
        <x:f>IF(COUNTA(B116:G116)=0,"",IF(AND(ISNUMBER(B116),C116&lt;&gt;"",D116&lt;&gt;"",E116&lt;&gt;"",ISNUMBER(F116)),"OK","PENDENTE"))</x:f>
      </x:c>
    </x:row>
    <x:row r="117">
      <x:c r="B117" s="50"/>
      <x:c r="C117" s="36"/>
      <x:c r="D117" s="36"/>
      <x:c r="E117" s="36"/>
      <x:c r="F117" s="48"/>
      <x:c r="G117" s="36"/>
      <x:c r="H117" t="str">
        <x:f>IF(COUNTA(B117:G117)=0,"",IF(AND(ISNUMBER(B117),C117&lt;&gt;"",D117&lt;&gt;"",E117&lt;&gt;"",ISNUMBER(F117)),"OK","PENDENTE"))</x:f>
      </x:c>
    </x:row>
    <x:row r="118">
      <x:c r="B118" s="50"/>
      <x:c r="C118" s="36"/>
      <x:c r="D118" s="36"/>
      <x:c r="E118" s="36"/>
      <x:c r="F118" s="48"/>
      <x:c r="G118" s="36"/>
      <x:c r="H118" t="str">
        <x:f>IF(COUNTA(B118:G118)=0,"",IF(AND(ISNUMBER(B118),C118&lt;&gt;"",D118&lt;&gt;"",E118&lt;&gt;"",ISNUMBER(F118)),"OK","PENDENTE"))</x:f>
      </x:c>
    </x:row>
    <x:row r="119">
      <x:c r="B119" s="50"/>
      <x:c r="C119" s="36"/>
      <x:c r="D119" s="36"/>
      <x:c r="E119" s="36"/>
      <x:c r="F119" s="48"/>
      <x:c r="G119" s="36"/>
      <x:c r="H119" t="str">
        <x:f>IF(COUNTA(B119:G119)=0,"",IF(AND(ISNUMBER(B119),C119&lt;&gt;"",D119&lt;&gt;"",E119&lt;&gt;"",ISNUMBER(F119)),"OK","PENDENTE"))</x:f>
      </x:c>
    </x:row>
    <x:row r="120">
      <x:c r="B120" s="50"/>
      <x:c r="C120" s="36"/>
      <x:c r="D120" s="36"/>
      <x:c r="E120" s="36"/>
      <x:c r="F120" s="48"/>
      <x:c r="G120" s="36"/>
      <x:c r="H120" t="str">
        <x:f>IF(COUNTA(B120:G120)=0,"",IF(AND(ISNUMBER(B120),C120&lt;&gt;"",D120&lt;&gt;"",E120&lt;&gt;"",ISNUMBER(F120)),"OK","PENDENTE"))</x:f>
      </x:c>
    </x:row>
    <x:row r="121">
      <x:c r="B121" s="50"/>
      <x:c r="C121" s="36"/>
      <x:c r="D121" s="36"/>
      <x:c r="E121" s="36"/>
      <x:c r="F121" s="48"/>
      <x:c r="G121" s="36"/>
      <x:c r="H121" t="str">
        <x:f>IF(COUNTA(B121:G121)=0,"",IF(AND(ISNUMBER(B121),C121&lt;&gt;"",D121&lt;&gt;"",E121&lt;&gt;"",ISNUMBER(F121)),"OK","PENDENTE"))</x:f>
      </x:c>
    </x:row>
    <x:row r="122">
      <x:c r="B122" s="50"/>
      <x:c r="C122" s="36"/>
      <x:c r="D122" s="36"/>
      <x:c r="E122" s="36"/>
      <x:c r="F122" s="48"/>
      <x:c r="G122" s="36"/>
      <x:c r="H122" t="str">
        <x:f>IF(COUNTA(B122:G122)=0,"",IF(AND(ISNUMBER(B122),C122&lt;&gt;"",D122&lt;&gt;"",E122&lt;&gt;"",ISNUMBER(F122)),"OK","PENDENTE"))</x:f>
      </x:c>
    </x:row>
    <x:row r="123">
      <x:c r="B123" s="50"/>
      <x:c r="C123" s="36"/>
      <x:c r="D123" s="36"/>
      <x:c r="E123" s="36"/>
      <x:c r="F123" s="48"/>
      <x:c r="G123" s="36"/>
      <x:c r="H123" t="str">
        <x:f>IF(COUNTA(B123:G123)=0,"",IF(AND(ISNUMBER(B123),C123&lt;&gt;"",D123&lt;&gt;"",E123&lt;&gt;"",ISNUMBER(F123)),"OK","PENDENTE"))</x:f>
      </x:c>
    </x:row>
    <x:row r="124">
      <x:c r="B124" s="50"/>
      <x:c r="C124" s="36"/>
      <x:c r="D124" s="36"/>
      <x:c r="E124" s="36"/>
      <x:c r="F124" s="48"/>
      <x:c r="G124" s="36"/>
      <x:c r="H124" t="str">
        <x:f>IF(COUNTA(B124:G124)=0,"",IF(AND(ISNUMBER(B124),C124&lt;&gt;"",D124&lt;&gt;"",E124&lt;&gt;"",ISNUMBER(F124)),"OK","PENDENTE"))</x:f>
      </x:c>
    </x:row>
    <x:row r="125">
      <x:c r="B125" s="50"/>
      <x:c r="C125" s="36"/>
      <x:c r="D125" s="36"/>
      <x:c r="E125" s="36"/>
      <x:c r="F125" s="48"/>
      <x:c r="G125" s="36"/>
      <x:c r="H125" t="str">
        <x:f>IF(COUNTA(B125:G125)=0,"",IF(AND(ISNUMBER(B125),C125&lt;&gt;"",D125&lt;&gt;"",E125&lt;&gt;"",ISNUMBER(F125)),"OK","PENDENTE"))</x:f>
      </x:c>
    </x:row>
    <x:row r="126">
      <x:c r="B126" s="50"/>
      <x:c r="C126" s="36"/>
      <x:c r="D126" s="36"/>
      <x:c r="E126" s="36"/>
      <x:c r="F126" s="48"/>
      <x:c r="G126" s="36"/>
      <x:c r="H126" t="str">
        <x:f>IF(COUNTA(B126:G126)=0,"",IF(AND(ISNUMBER(B126),C126&lt;&gt;"",D126&lt;&gt;"",E126&lt;&gt;"",ISNUMBER(F126)),"OK","PENDENTE"))</x:f>
      </x:c>
    </x:row>
    <x:row r="127">
      <x:c r="B127" s="50"/>
      <x:c r="C127" s="36"/>
      <x:c r="D127" s="36"/>
      <x:c r="E127" s="36"/>
      <x:c r="F127" s="48"/>
      <x:c r="G127" s="36"/>
      <x:c r="H127" t="str">
        <x:f>IF(COUNTA(B127:G127)=0,"",IF(AND(ISNUMBER(B127),C127&lt;&gt;"",D127&lt;&gt;"",E127&lt;&gt;"",ISNUMBER(F127)),"OK","PENDENTE"))</x:f>
      </x:c>
    </x:row>
    <x:row r="128">
      <x:c r="B128" s="50"/>
      <x:c r="C128" s="36"/>
      <x:c r="D128" s="36"/>
      <x:c r="E128" s="36"/>
      <x:c r="F128" s="48"/>
      <x:c r="G128" s="36"/>
      <x:c r="H128" t="str">
        <x:f>IF(COUNTA(B128:G128)=0,"",IF(AND(ISNUMBER(B128),C128&lt;&gt;"",D128&lt;&gt;"",E128&lt;&gt;"",ISNUMBER(F128)),"OK","PENDENTE"))</x:f>
      </x:c>
    </x:row>
    <x:row r="129">
      <x:c r="B129" s="50"/>
      <x:c r="C129" s="36"/>
      <x:c r="D129" s="36"/>
      <x:c r="E129" s="36"/>
      <x:c r="F129" s="48"/>
      <x:c r="G129" s="36"/>
      <x:c r="H129" t="str">
        <x:f>IF(COUNTA(B129:G129)=0,"",IF(AND(ISNUMBER(B129),C129&lt;&gt;"",D129&lt;&gt;"",E129&lt;&gt;"",ISNUMBER(F129)),"OK","PENDENTE"))</x:f>
      </x:c>
    </x:row>
    <x:row r="130">
      <x:c r="B130" s="50"/>
      <x:c r="C130" s="36"/>
      <x:c r="D130" s="36"/>
      <x:c r="E130" s="36"/>
      <x:c r="F130" s="48"/>
      <x:c r="G130" s="36"/>
      <x:c r="H130" t="str">
        <x:f>IF(COUNTA(B130:G130)=0,"",IF(AND(ISNUMBER(B130),C130&lt;&gt;"",D130&lt;&gt;"",E130&lt;&gt;"",ISNUMBER(F130)),"OK","PENDENTE"))</x:f>
      </x:c>
    </x:row>
    <x:row r="131">
      <x:c r="B131" s="50"/>
      <x:c r="C131" s="36"/>
      <x:c r="D131" s="36"/>
      <x:c r="E131" s="36"/>
      <x:c r="F131" s="48"/>
      <x:c r="G131" s="36"/>
      <x:c r="H131" t="str">
        <x:f>IF(COUNTA(B131:G131)=0,"",IF(AND(ISNUMBER(B131),C131&lt;&gt;"",D131&lt;&gt;"",E131&lt;&gt;"",ISNUMBER(F131)),"OK","PENDENTE"))</x:f>
      </x:c>
    </x:row>
    <x:row r="132">
      <x:c r="B132" s="50"/>
      <x:c r="C132" s="36"/>
      <x:c r="D132" s="36"/>
      <x:c r="E132" s="36"/>
      <x:c r="F132" s="48"/>
      <x:c r="G132" s="36"/>
      <x:c r="H132" t="str">
        <x:f>IF(COUNTA(B132:G132)=0,"",IF(AND(ISNUMBER(B132),C132&lt;&gt;"",D132&lt;&gt;"",E132&lt;&gt;"",ISNUMBER(F132)),"OK","PENDENTE"))</x:f>
      </x:c>
    </x:row>
    <x:row r="133">
      <x:c r="B133" s="50"/>
      <x:c r="C133" s="36"/>
      <x:c r="D133" s="36"/>
      <x:c r="E133" s="36"/>
      <x:c r="F133" s="48"/>
      <x:c r="G133" s="36"/>
      <x:c r="H133" t="str">
        <x:f>IF(COUNTA(B133:G133)=0,"",IF(AND(ISNUMBER(B133),C133&lt;&gt;"",D133&lt;&gt;"",E133&lt;&gt;"",ISNUMBER(F133)),"OK","PENDENTE"))</x:f>
      </x:c>
    </x:row>
    <x:row r="134">
      <x:c r="B134" s="50"/>
      <x:c r="C134" s="36"/>
      <x:c r="D134" s="36"/>
      <x:c r="E134" s="36"/>
      <x:c r="F134" s="48"/>
      <x:c r="G134" s="36"/>
      <x:c r="H134" t="str">
        <x:f>IF(COUNTA(B134:G134)=0,"",IF(AND(ISNUMBER(B134),C134&lt;&gt;"",D134&lt;&gt;"",E134&lt;&gt;"",ISNUMBER(F134)),"OK","PENDENTE"))</x:f>
      </x:c>
    </x:row>
    <x:row r="135">
      <x:c r="B135" s="50"/>
      <x:c r="C135" s="36"/>
      <x:c r="D135" s="36"/>
      <x:c r="E135" s="36"/>
      <x:c r="F135" s="48"/>
      <x:c r="G135" s="36"/>
      <x:c r="H135" t="str">
        <x:f>IF(COUNTA(B135:G135)=0,"",IF(AND(ISNUMBER(B135),C135&lt;&gt;"",D135&lt;&gt;"",E135&lt;&gt;"",ISNUMBER(F135)),"OK","PENDENTE"))</x:f>
      </x:c>
    </x:row>
    <x:row r="136">
      <x:c r="B136" s="50"/>
      <x:c r="C136" s="36"/>
      <x:c r="D136" s="36"/>
      <x:c r="E136" s="36"/>
      <x:c r="F136" s="48"/>
      <x:c r="G136" s="36"/>
      <x:c r="H136" t="str">
        <x:f>IF(COUNTA(B136:G136)=0,"",IF(AND(ISNUMBER(B136),C136&lt;&gt;"",D136&lt;&gt;"",E136&lt;&gt;"",ISNUMBER(F136)),"OK","PENDENTE"))</x:f>
      </x:c>
    </x:row>
    <x:row r="137">
      <x:c r="B137" s="50"/>
      <x:c r="C137" s="36"/>
      <x:c r="D137" s="36"/>
      <x:c r="E137" s="36"/>
      <x:c r="F137" s="48"/>
      <x:c r="G137" s="36"/>
      <x:c r="H137" t="str">
        <x:f>IF(COUNTA(B137:G137)=0,"",IF(AND(ISNUMBER(B137),C137&lt;&gt;"",D137&lt;&gt;"",E137&lt;&gt;"",ISNUMBER(F137)),"OK","PENDENTE"))</x:f>
      </x:c>
    </x:row>
    <x:row r="138">
      <x:c r="B138" s="50"/>
      <x:c r="C138" s="36"/>
      <x:c r="D138" s="36"/>
      <x:c r="E138" s="36"/>
      <x:c r="F138" s="48"/>
      <x:c r="G138" s="36"/>
      <x:c r="H138" t="str">
        <x:f>IF(COUNTA(B138:G138)=0,"",IF(AND(ISNUMBER(B138),C138&lt;&gt;"",D138&lt;&gt;"",E138&lt;&gt;"",ISNUMBER(F138)),"OK","PENDENTE"))</x:f>
      </x:c>
    </x:row>
    <x:row r="139">
      <x:c r="B139" s="50"/>
      <x:c r="C139" s="36"/>
      <x:c r="D139" s="36"/>
      <x:c r="E139" s="36"/>
      <x:c r="F139" s="48"/>
      <x:c r="G139" s="36"/>
      <x:c r="H139" t="str">
        <x:f>IF(COUNTA(B139:G139)=0,"",IF(AND(ISNUMBER(B139),C139&lt;&gt;"",D139&lt;&gt;"",E139&lt;&gt;"",ISNUMBER(F139)),"OK","PENDENTE"))</x:f>
      </x:c>
    </x:row>
    <x:row r="140">
      <x:c r="B140" s="50"/>
      <x:c r="C140" s="36"/>
      <x:c r="D140" s="36"/>
      <x:c r="E140" s="36"/>
      <x:c r="F140" s="48"/>
      <x:c r="G140" s="36"/>
      <x:c r="H140" t="str">
        <x:f>IF(COUNTA(B140:G140)=0,"",IF(AND(ISNUMBER(B140),C140&lt;&gt;"",D140&lt;&gt;"",E140&lt;&gt;"",ISNUMBER(F140)),"OK","PENDENTE"))</x:f>
      </x:c>
    </x:row>
    <x:row r="141">
      <x:c r="B141" s="50"/>
      <x:c r="C141" s="36"/>
      <x:c r="D141" s="36"/>
      <x:c r="E141" s="36"/>
      <x:c r="F141" s="48"/>
      <x:c r="G141" s="36"/>
      <x:c r="H141" t="str">
        <x:f>IF(COUNTA(B141:G141)=0,"",IF(AND(ISNUMBER(B141),C141&lt;&gt;"",D141&lt;&gt;"",E141&lt;&gt;"",ISNUMBER(F141)),"OK","PENDENTE"))</x:f>
      </x:c>
    </x:row>
    <x:row r="142">
      <x:c r="B142" s="50"/>
      <x:c r="C142" s="36"/>
      <x:c r="D142" s="36"/>
      <x:c r="E142" s="36"/>
      <x:c r="F142" s="48"/>
      <x:c r="G142" s="36"/>
      <x:c r="H142" t="str">
        <x:f>IF(COUNTA(B142:G142)=0,"",IF(AND(ISNUMBER(B142),C142&lt;&gt;"",D142&lt;&gt;"",E142&lt;&gt;"",ISNUMBER(F142)),"OK","PENDENTE"))</x:f>
      </x:c>
    </x:row>
    <x:row r="143">
      <x:c r="B143" s="50"/>
      <x:c r="C143" s="36"/>
      <x:c r="D143" s="36"/>
      <x:c r="E143" s="36"/>
      <x:c r="F143" s="48"/>
      <x:c r="G143" s="36"/>
      <x:c r="H143" t="str">
        <x:f>IF(COUNTA(B143:G143)=0,"",IF(AND(ISNUMBER(B143),C143&lt;&gt;"",D143&lt;&gt;"",E143&lt;&gt;"",ISNUMBER(F143)),"OK","PENDENTE"))</x:f>
      </x:c>
    </x:row>
    <x:row r="144">
      <x:c r="B144" s="50"/>
      <x:c r="C144" s="36"/>
      <x:c r="D144" s="36"/>
      <x:c r="E144" s="36"/>
      <x:c r="F144" s="48"/>
      <x:c r="G144" s="36"/>
      <x:c r="H144" t="str">
        <x:f>IF(COUNTA(B144:G144)=0,"",IF(AND(ISNUMBER(B144),C144&lt;&gt;"",D144&lt;&gt;"",E144&lt;&gt;"",ISNUMBER(F144)),"OK","PENDENTE"))</x:f>
      </x:c>
    </x:row>
    <x:row r="145">
      <x:c r="B145" s="50"/>
      <x:c r="C145" s="36"/>
      <x:c r="D145" s="36"/>
      <x:c r="E145" s="36"/>
      <x:c r="F145" s="48"/>
      <x:c r="G145" s="36"/>
      <x:c r="H145" t="str">
        <x:f>IF(COUNTA(B145:G145)=0,"",IF(AND(ISNUMBER(B145),C145&lt;&gt;"",D145&lt;&gt;"",E145&lt;&gt;"",ISNUMBER(F145)),"OK","PENDENTE"))</x:f>
      </x:c>
    </x:row>
    <x:row r="146">
      <x:c r="B146" s="50"/>
      <x:c r="C146" s="36"/>
      <x:c r="D146" s="36"/>
      <x:c r="E146" s="36"/>
      <x:c r="F146" s="48"/>
      <x:c r="G146" s="36"/>
      <x:c r="H146" t="str">
        <x:f>IF(COUNTA(B146:G146)=0,"",IF(AND(ISNUMBER(B146),C146&lt;&gt;"",D146&lt;&gt;"",E146&lt;&gt;"",ISNUMBER(F146)),"OK","PENDENTE"))</x:f>
      </x:c>
    </x:row>
    <x:row r="147">
      <x:c r="B147" s="50"/>
      <x:c r="C147" s="36"/>
      <x:c r="D147" s="36"/>
      <x:c r="E147" s="36"/>
      <x:c r="F147" s="48"/>
      <x:c r="G147" s="36"/>
      <x:c r="H147" t="str">
        <x:f>IF(COUNTA(B147:G147)=0,"",IF(AND(ISNUMBER(B147),C147&lt;&gt;"",D147&lt;&gt;"",E147&lt;&gt;"",ISNUMBER(F147)),"OK","PENDENTE"))</x:f>
      </x:c>
    </x:row>
    <x:row r="148">
      <x:c r="B148" s="50"/>
      <x:c r="C148" s="36"/>
      <x:c r="D148" s="36"/>
      <x:c r="E148" s="36"/>
      <x:c r="F148" s="48"/>
      <x:c r="G148" s="36"/>
      <x:c r="H148" t="str">
        <x:f>IF(COUNTA(B148:G148)=0,"",IF(AND(ISNUMBER(B148),C148&lt;&gt;"",D148&lt;&gt;"",E148&lt;&gt;"",ISNUMBER(F148)),"OK","PENDENTE"))</x:f>
      </x:c>
    </x:row>
    <x:row r="149">
      <x:c r="B149" s="50"/>
      <x:c r="C149" s="36"/>
      <x:c r="D149" s="36"/>
      <x:c r="E149" s="36"/>
      <x:c r="F149" s="48"/>
      <x:c r="G149" s="36"/>
      <x:c r="H149" t="str">
        <x:f>IF(COUNTA(B149:G149)=0,"",IF(AND(ISNUMBER(B149),C149&lt;&gt;"",D149&lt;&gt;"",E149&lt;&gt;"",ISNUMBER(F149)),"OK","PENDENTE"))</x:f>
      </x:c>
    </x:row>
    <x:row r="150">
      <x:c r="B150" s="50"/>
      <x:c r="C150" s="36"/>
      <x:c r="D150" s="36"/>
      <x:c r="E150" s="36"/>
      <x:c r="F150" s="48"/>
      <x:c r="G150" s="36"/>
      <x:c r="H150" t="str">
        <x:f>IF(COUNTA(B150:G150)=0,"",IF(AND(ISNUMBER(B150),C150&lt;&gt;"",D150&lt;&gt;"",E150&lt;&gt;"",ISNUMBER(F150)),"OK","PENDENTE"))</x:f>
      </x:c>
    </x:row>
    <x:row r="151">
      <x:c r="B151" s="50"/>
      <x:c r="C151" s="36"/>
      <x:c r="D151" s="36"/>
      <x:c r="E151" s="36"/>
      <x:c r="F151" s="48"/>
      <x:c r="G151" s="36"/>
      <x:c r="H151" t="str">
        <x:f>IF(COUNTA(B151:G151)=0,"",IF(AND(ISNUMBER(B151),C151&lt;&gt;"",D151&lt;&gt;"",E151&lt;&gt;"",ISNUMBER(F151)),"OK","PENDENTE"))</x:f>
      </x:c>
    </x:row>
    <x:row r="152">
      <x:c r="B152" s="50"/>
      <x:c r="C152" s="36"/>
      <x:c r="D152" s="36"/>
      <x:c r="E152" s="36"/>
      <x:c r="F152" s="48"/>
      <x:c r="G152" s="36"/>
      <x:c r="H152" t="str">
        <x:f>IF(COUNTA(B152:G152)=0,"",IF(AND(ISNUMBER(B152),C152&lt;&gt;"",D152&lt;&gt;"",E152&lt;&gt;"",ISNUMBER(F152)),"OK","PENDENTE"))</x:f>
      </x:c>
    </x:row>
    <x:row r="153">
      <x:c r="B153" s="50"/>
      <x:c r="C153" s="36"/>
      <x:c r="D153" s="36"/>
      <x:c r="E153" s="36"/>
      <x:c r="F153" s="48"/>
      <x:c r="G153" s="36"/>
      <x:c r="H153" t="str">
        <x:f>IF(COUNTA(B153:G153)=0,"",IF(AND(ISNUMBER(B153),C153&lt;&gt;"",D153&lt;&gt;"",E153&lt;&gt;"",ISNUMBER(F153)),"OK","PENDENTE"))</x:f>
      </x:c>
    </x:row>
    <x:row r="154">
      <x:c r="B154" s="50"/>
      <x:c r="C154" s="36"/>
      <x:c r="D154" s="36"/>
      <x:c r="E154" s="36"/>
      <x:c r="F154" s="48"/>
      <x:c r="G154" s="36"/>
      <x:c r="H154" t="str">
        <x:f>IF(COUNTA(B154:G154)=0,"",IF(AND(ISNUMBER(B154),C154&lt;&gt;"",D154&lt;&gt;"",E154&lt;&gt;"",ISNUMBER(F154)),"OK","PENDENTE"))</x:f>
      </x:c>
    </x:row>
    <x:row r="155">
      <x:c r="B155" s="50"/>
      <x:c r="C155" s="36"/>
      <x:c r="D155" s="36"/>
      <x:c r="E155" s="36"/>
      <x:c r="F155" s="48"/>
      <x:c r="G155" s="36"/>
      <x:c r="H155" t="str">
        <x:f>IF(COUNTA(B155:G155)=0,"",IF(AND(ISNUMBER(B155),C155&lt;&gt;"",D155&lt;&gt;"",E155&lt;&gt;"",ISNUMBER(F155)),"OK","PENDENTE"))</x:f>
      </x:c>
    </x:row>
    <x:row r="156">
      <x:c r="B156" s="50"/>
      <x:c r="C156" s="36"/>
      <x:c r="D156" s="36"/>
      <x:c r="E156" s="36"/>
      <x:c r="F156" s="48"/>
      <x:c r="G156" s="36"/>
      <x:c r="H156" t="str">
        <x:f>IF(COUNTA(B156:G156)=0,"",IF(AND(ISNUMBER(B156),C156&lt;&gt;"",D156&lt;&gt;"",E156&lt;&gt;"",ISNUMBER(F156)),"OK","PENDENTE"))</x:f>
      </x:c>
    </x:row>
    <x:row r="157">
      <x:c r="B157" s="50"/>
      <x:c r="C157" s="36"/>
      <x:c r="D157" s="36"/>
      <x:c r="E157" s="36"/>
      <x:c r="F157" s="48"/>
      <x:c r="G157" s="36"/>
      <x:c r="H157" t="str">
        <x:f>IF(COUNTA(B157:G157)=0,"",IF(AND(ISNUMBER(B157),C157&lt;&gt;"",D157&lt;&gt;"",E157&lt;&gt;"",ISNUMBER(F157)),"OK","PENDENTE"))</x:f>
      </x:c>
    </x:row>
    <x:row r="158">
      <x:c r="B158" s="50"/>
      <x:c r="C158" s="36"/>
      <x:c r="D158" s="36"/>
      <x:c r="E158" s="36"/>
      <x:c r="F158" s="48"/>
      <x:c r="G158" s="36"/>
      <x:c r="H158" t="str">
        <x:f>IF(COUNTA(B158:G158)=0,"",IF(AND(ISNUMBER(B158),C158&lt;&gt;"",D158&lt;&gt;"",E158&lt;&gt;"",ISNUMBER(F158)),"OK","PENDENTE"))</x:f>
      </x:c>
    </x:row>
    <x:row r="159">
      <x:c r="B159" s="50"/>
      <x:c r="C159" s="36"/>
      <x:c r="D159" s="36"/>
      <x:c r="E159" s="36"/>
      <x:c r="F159" s="48"/>
      <x:c r="G159" s="36"/>
      <x:c r="H159" t="str">
        <x:f>IF(COUNTA(B159:G159)=0,"",IF(AND(ISNUMBER(B159),C159&lt;&gt;"",D159&lt;&gt;"",E159&lt;&gt;"",ISNUMBER(F159)),"OK","PENDENTE"))</x:f>
      </x:c>
    </x:row>
    <x:row r="160">
      <x:c r="B160" s="50"/>
      <x:c r="C160" s="36"/>
      <x:c r="D160" s="36"/>
      <x:c r="E160" s="36"/>
      <x:c r="F160" s="48"/>
      <x:c r="G160" s="36"/>
      <x:c r="H160" t="str">
        <x:f>IF(COUNTA(B160:G160)=0,"",IF(AND(ISNUMBER(B160),C160&lt;&gt;"",D160&lt;&gt;"",E160&lt;&gt;"",ISNUMBER(F160)),"OK","PENDENTE"))</x:f>
      </x:c>
    </x:row>
    <x:row r="161">
      <x:c r="B161" s="50"/>
      <x:c r="C161" s="36"/>
      <x:c r="D161" s="36"/>
      <x:c r="E161" s="36"/>
      <x:c r="F161" s="48"/>
      <x:c r="G161" s="36"/>
      <x:c r="H161" t="str">
        <x:f>IF(COUNTA(B161:G161)=0,"",IF(AND(ISNUMBER(B161),C161&lt;&gt;"",D161&lt;&gt;"",E161&lt;&gt;"",ISNUMBER(F161)),"OK","PENDENTE"))</x:f>
      </x:c>
    </x:row>
    <x:row r="162">
      <x:c r="B162" s="50"/>
      <x:c r="C162" s="36"/>
      <x:c r="D162" s="36"/>
      <x:c r="E162" s="36"/>
      <x:c r="F162" s="48"/>
      <x:c r="G162" s="36"/>
      <x:c r="H162" t="str">
        <x:f>IF(COUNTA(B162:G162)=0,"",IF(AND(ISNUMBER(B162),C162&lt;&gt;"",D162&lt;&gt;"",E162&lt;&gt;"",ISNUMBER(F162)),"OK","PENDENTE"))</x:f>
      </x:c>
    </x:row>
    <x:row r="163">
      <x:c r="B163" s="50"/>
      <x:c r="C163" s="36"/>
      <x:c r="D163" s="36"/>
      <x:c r="E163" s="36"/>
      <x:c r="F163" s="48"/>
      <x:c r="G163" s="36"/>
      <x:c r="H163" t="str">
        <x:f>IF(COUNTA(B163:G163)=0,"",IF(AND(ISNUMBER(B163),C163&lt;&gt;"",D163&lt;&gt;"",E163&lt;&gt;"",ISNUMBER(F163)),"OK","PENDENTE"))</x:f>
      </x:c>
    </x:row>
    <x:row r="164">
      <x:c r="B164" s="50"/>
      <x:c r="C164" s="36"/>
      <x:c r="D164" s="36"/>
      <x:c r="E164" s="36"/>
      <x:c r="F164" s="48"/>
      <x:c r="G164" s="36"/>
      <x:c r="H164" t="str">
        <x:f>IF(COUNTA(B164:G164)=0,"",IF(AND(ISNUMBER(B164),C164&lt;&gt;"",D164&lt;&gt;"",E164&lt;&gt;"",ISNUMBER(F164)),"OK","PENDENTE"))</x:f>
      </x:c>
    </x:row>
    <x:row r="165">
      <x:c r="B165" s="50"/>
      <x:c r="C165" s="36"/>
      <x:c r="D165" s="36"/>
      <x:c r="E165" s="36"/>
      <x:c r="F165" s="48"/>
      <x:c r="G165" s="36"/>
      <x:c r="H165" t="str">
        <x:f>IF(COUNTA(B165:G165)=0,"",IF(AND(ISNUMBER(B165),C165&lt;&gt;"",D165&lt;&gt;"",E165&lt;&gt;"",ISNUMBER(F165)),"OK","PENDENTE"))</x:f>
      </x:c>
    </x:row>
    <x:row r="166">
      <x:c r="B166" s="50"/>
      <x:c r="C166" s="36"/>
      <x:c r="D166" s="36"/>
      <x:c r="E166" s="36"/>
      <x:c r="F166" s="48"/>
      <x:c r="G166" s="36"/>
      <x:c r="H166" t="str">
        <x:f>IF(COUNTA(B166:G166)=0,"",IF(AND(ISNUMBER(B166),C166&lt;&gt;"",D166&lt;&gt;"",E166&lt;&gt;"",ISNUMBER(F166)),"OK","PENDENTE"))</x:f>
      </x:c>
    </x:row>
    <x:row r="167">
      <x:c r="B167" s="50"/>
      <x:c r="C167" s="36"/>
      <x:c r="D167" s="36"/>
      <x:c r="E167" s="36"/>
      <x:c r="F167" s="48"/>
      <x:c r="G167" s="36"/>
      <x:c r="H167" t="str">
        <x:f>IF(COUNTA(B167:G167)=0,"",IF(AND(ISNUMBER(B167),C167&lt;&gt;"",D167&lt;&gt;"",E167&lt;&gt;"",ISNUMBER(F167)),"OK","PENDENTE"))</x:f>
      </x:c>
    </x:row>
    <x:row r="168">
      <x:c r="B168" s="50"/>
      <x:c r="C168" s="36"/>
      <x:c r="D168" s="36"/>
      <x:c r="E168" s="36"/>
      <x:c r="F168" s="48"/>
      <x:c r="G168" s="36"/>
      <x:c r="H168" t="str">
        <x:f>IF(COUNTA(B168:G168)=0,"",IF(AND(ISNUMBER(B168),C168&lt;&gt;"",D168&lt;&gt;"",E168&lt;&gt;"",ISNUMBER(F168)),"OK","PENDENTE"))</x:f>
      </x:c>
    </x:row>
    <x:row r="169">
      <x:c r="B169" s="50"/>
      <x:c r="C169" s="36"/>
      <x:c r="D169" s="36"/>
      <x:c r="E169" s="36"/>
      <x:c r="F169" s="48"/>
      <x:c r="G169" s="36"/>
      <x:c r="H169" t="str">
        <x:f>IF(COUNTA(B169:G169)=0,"",IF(AND(ISNUMBER(B169),C169&lt;&gt;"",D169&lt;&gt;"",E169&lt;&gt;"",ISNUMBER(F169)),"OK","PENDENTE"))</x:f>
      </x:c>
    </x:row>
    <x:row r="170">
      <x:c r="B170" s="50"/>
      <x:c r="C170" s="36"/>
      <x:c r="D170" s="36"/>
      <x:c r="E170" s="36"/>
      <x:c r="F170" s="48"/>
      <x:c r="G170" s="36"/>
      <x:c r="H170" t="str">
        <x:f>IF(COUNTA(B170:G170)=0,"",IF(AND(ISNUMBER(B170),C170&lt;&gt;"",D170&lt;&gt;"",E170&lt;&gt;"",ISNUMBER(F170)),"OK","PENDENTE"))</x:f>
      </x:c>
    </x:row>
    <x:row r="171">
      <x:c r="B171" s="50"/>
      <x:c r="C171" s="36"/>
      <x:c r="D171" s="36"/>
      <x:c r="E171" s="36"/>
      <x:c r="F171" s="48"/>
      <x:c r="G171" s="36"/>
      <x:c r="H171" t="str">
        <x:f>IF(COUNTA(B171:G171)=0,"",IF(AND(ISNUMBER(B171),C171&lt;&gt;"",D171&lt;&gt;"",E171&lt;&gt;"",ISNUMBER(F171)),"OK","PENDENTE"))</x:f>
      </x:c>
    </x:row>
    <x:row r="172">
      <x:c r="B172" s="50"/>
      <x:c r="C172" s="36"/>
      <x:c r="D172" s="36"/>
      <x:c r="E172" s="36"/>
      <x:c r="F172" s="48"/>
      <x:c r="G172" s="36"/>
      <x:c r="H172" t="str">
        <x:f>IF(COUNTA(B172:G172)=0,"",IF(AND(ISNUMBER(B172),C172&lt;&gt;"",D172&lt;&gt;"",E172&lt;&gt;"",ISNUMBER(F172)),"OK","PENDENTE"))</x:f>
      </x:c>
    </x:row>
    <x:row r="173">
      <x:c r="B173" s="50"/>
      <x:c r="C173" s="36"/>
      <x:c r="D173" s="36"/>
      <x:c r="E173" s="36"/>
      <x:c r="F173" s="48"/>
      <x:c r="G173" s="36"/>
      <x:c r="H173" t="str">
        <x:f>IF(COUNTA(B173:G173)=0,"",IF(AND(ISNUMBER(B173),C173&lt;&gt;"",D173&lt;&gt;"",E173&lt;&gt;"",ISNUMBER(F173)),"OK","PENDENTE"))</x:f>
      </x:c>
    </x:row>
    <x:row r="174">
      <x:c r="B174" s="50"/>
      <x:c r="C174" s="36"/>
      <x:c r="D174" s="36"/>
      <x:c r="E174" s="36"/>
      <x:c r="F174" s="48"/>
      <x:c r="G174" s="36"/>
      <x:c r="H174" t="str">
        <x:f>IF(COUNTA(B174:G174)=0,"",IF(AND(ISNUMBER(B174),C174&lt;&gt;"",D174&lt;&gt;"",E174&lt;&gt;"",ISNUMBER(F174)),"OK","PENDENTE"))</x:f>
      </x:c>
    </x:row>
    <x:row r="175">
      <x:c r="B175" s="50"/>
      <x:c r="C175" s="36"/>
      <x:c r="D175" s="36"/>
      <x:c r="E175" s="36"/>
      <x:c r="F175" s="48"/>
      <x:c r="G175" s="36"/>
      <x:c r="H175" t="str">
        <x:f>IF(COUNTA(B175:G175)=0,"",IF(AND(ISNUMBER(B175),C175&lt;&gt;"",D175&lt;&gt;"",E175&lt;&gt;"",ISNUMBER(F175)),"OK","PENDENTE"))</x:f>
      </x:c>
    </x:row>
    <x:row r="176">
      <x:c r="B176" s="50"/>
      <x:c r="C176" s="36"/>
      <x:c r="D176" s="36"/>
      <x:c r="E176" s="36"/>
      <x:c r="F176" s="48"/>
      <x:c r="G176" s="36"/>
      <x:c r="H176" t="str">
        <x:f>IF(COUNTA(B176:G176)=0,"",IF(AND(ISNUMBER(B176),C176&lt;&gt;"",D176&lt;&gt;"",E176&lt;&gt;"",ISNUMBER(F176)),"OK","PENDENTE"))</x:f>
      </x:c>
    </x:row>
    <x:row r="177">
      <x:c r="B177" s="50"/>
      <x:c r="C177" s="36"/>
      <x:c r="D177" s="36"/>
      <x:c r="E177" s="36"/>
      <x:c r="F177" s="48"/>
      <x:c r="G177" s="36"/>
      <x:c r="H177" t="str">
        <x:f>IF(COUNTA(B177:G177)=0,"",IF(AND(ISNUMBER(B177),C177&lt;&gt;"",D177&lt;&gt;"",E177&lt;&gt;"",ISNUMBER(F177)),"OK","PENDENTE"))</x:f>
      </x:c>
    </x:row>
    <x:row r="178">
      <x:c r="B178" s="50"/>
      <x:c r="C178" s="36"/>
      <x:c r="D178" s="36"/>
      <x:c r="E178" s="36"/>
      <x:c r="F178" s="48"/>
      <x:c r="G178" s="36"/>
      <x:c r="H178" t="str">
        <x:f>IF(COUNTA(B178:G178)=0,"",IF(AND(ISNUMBER(B178),C178&lt;&gt;"",D178&lt;&gt;"",E178&lt;&gt;"",ISNUMBER(F178)),"OK","PENDENTE"))</x:f>
      </x:c>
    </x:row>
    <x:row r="179">
      <x:c r="B179" s="50"/>
      <x:c r="C179" s="36"/>
      <x:c r="D179" s="36"/>
      <x:c r="E179" s="36"/>
      <x:c r="F179" s="48"/>
      <x:c r="G179" s="36"/>
      <x:c r="H179" t="str">
        <x:f>IF(COUNTA(B179:G179)=0,"",IF(AND(ISNUMBER(B179),C179&lt;&gt;"",D179&lt;&gt;"",E179&lt;&gt;"",ISNUMBER(F179)),"OK","PENDENTE"))</x:f>
      </x:c>
    </x:row>
    <x:row r="180">
      <x:c r="B180" s="50"/>
      <x:c r="C180" s="36"/>
      <x:c r="D180" s="36"/>
      <x:c r="E180" s="36"/>
      <x:c r="F180" s="48"/>
      <x:c r="G180" s="36"/>
      <x:c r="H180" t="str">
        <x:f>IF(COUNTA(B180:G180)=0,"",IF(AND(ISNUMBER(B180),C180&lt;&gt;"",D180&lt;&gt;"",E180&lt;&gt;"",ISNUMBER(F180)),"OK","PENDENTE"))</x:f>
      </x:c>
    </x:row>
    <x:row r="181">
      <x:c r="B181" s="50"/>
      <x:c r="C181" s="36"/>
      <x:c r="D181" s="36"/>
      <x:c r="E181" s="36"/>
      <x:c r="F181" s="48"/>
      <x:c r="G181" s="36"/>
      <x:c r="H181" t="str">
        <x:f>IF(COUNTA(B181:G181)=0,"",IF(AND(ISNUMBER(B181),C181&lt;&gt;"",D181&lt;&gt;"",E181&lt;&gt;"",ISNUMBER(F181)),"OK","PENDENTE"))</x:f>
      </x:c>
    </x:row>
    <x:row r="182">
      <x:c r="B182" s="50"/>
      <x:c r="C182" s="36"/>
      <x:c r="D182" s="36"/>
      <x:c r="E182" s="36"/>
      <x:c r="F182" s="48"/>
      <x:c r="G182" s="36"/>
      <x:c r="H182" t="str">
        <x:f>IF(COUNTA(B182:G182)=0,"",IF(AND(ISNUMBER(B182),C182&lt;&gt;"",D182&lt;&gt;"",E182&lt;&gt;"",ISNUMBER(F182)),"OK","PENDENTE"))</x:f>
      </x:c>
    </x:row>
    <x:row r="183">
      <x:c r="B183" s="50"/>
      <x:c r="C183" s="36"/>
      <x:c r="D183" s="36"/>
      <x:c r="E183" s="36"/>
      <x:c r="F183" s="48"/>
      <x:c r="G183" s="36"/>
      <x:c r="H183" t="str">
        <x:f>IF(COUNTA(B183:G183)=0,"",IF(AND(ISNUMBER(B183),C183&lt;&gt;"",D183&lt;&gt;"",E183&lt;&gt;"",ISNUMBER(F183)),"OK","PENDENTE"))</x:f>
      </x:c>
    </x:row>
    <x:row r="184">
      <x:c r="B184" s="50"/>
      <x:c r="C184" s="36"/>
      <x:c r="D184" s="36"/>
      <x:c r="E184" s="36"/>
      <x:c r="F184" s="48"/>
      <x:c r="G184" s="36"/>
      <x:c r="H184" t="str">
        <x:f>IF(COUNTA(B184:G184)=0,"",IF(AND(ISNUMBER(B184),C184&lt;&gt;"",D184&lt;&gt;"",E184&lt;&gt;"",ISNUMBER(F184)),"OK","PENDENTE"))</x:f>
      </x:c>
    </x:row>
    <x:row r="185">
      <x:c r="B185" s="50"/>
      <x:c r="C185" s="36"/>
      <x:c r="D185" s="36"/>
      <x:c r="E185" s="36"/>
      <x:c r="F185" s="48"/>
      <x:c r="G185" s="36"/>
      <x:c r="H185" t="str">
        <x:f>IF(COUNTA(B185:G185)=0,"",IF(AND(ISNUMBER(B185),C185&lt;&gt;"",D185&lt;&gt;"",E185&lt;&gt;"",ISNUMBER(F185)),"OK","PENDENTE"))</x:f>
      </x:c>
    </x:row>
    <x:row r="186">
      <x:c r="B186" s="50"/>
      <x:c r="C186" s="36"/>
      <x:c r="D186" s="36"/>
      <x:c r="E186" s="36"/>
      <x:c r="F186" s="48"/>
      <x:c r="G186" s="36"/>
      <x:c r="H186" t="str">
        <x:f>IF(COUNTA(B186:G186)=0,"",IF(AND(ISNUMBER(B186),C186&lt;&gt;"",D186&lt;&gt;"",E186&lt;&gt;"",ISNUMBER(F186)),"OK","PENDENTE"))</x:f>
      </x:c>
    </x:row>
    <x:row r="187">
      <x:c r="B187" s="50"/>
      <x:c r="C187" s="36"/>
      <x:c r="D187" s="36"/>
      <x:c r="E187" s="36"/>
      <x:c r="F187" s="48"/>
      <x:c r="G187" s="36"/>
      <x:c r="H187" t="str">
        <x:f>IF(COUNTA(B187:G187)=0,"",IF(AND(ISNUMBER(B187),C187&lt;&gt;"",D187&lt;&gt;"",E187&lt;&gt;"",ISNUMBER(F187)),"OK","PENDENTE"))</x:f>
      </x:c>
    </x:row>
    <x:row r="188">
      <x:c r="B188" s="50"/>
      <x:c r="C188" s="36"/>
      <x:c r="D188" s="36"/>
      <x:c r="E188" s="36"/>
      <x:c r="F188" s="48"/>
      <x:c r="G188" s="36"/>
      <x:c r="H188" t="str">
        <x:f>IF(COUNTA(B188:G188)=0,"",IF(AND(ISNUMBER(B188),C188&lt;&gt;"",D188&lt;&gt;"",E188&lt;&gt;"",ISNUMBER(F188)),"OK","PENDENTE"))</x:f>
      </x:c>
    </x:row>
    <x:row r="189">
      <x:c r="B189" s="50"/>
      <x:c r="C189" s="36"/>
      <x:c r="D189" s="36"/>
      <x:c r="E189" s="36"/>
      <x:c r="F189" s="48"/>
      <x:c r="G189" s="36"/>
      <x:c r="H189" t="str">
        <x:f>IF(COUNTA(B189:G189)=0,"",IF(AND(ISNUMBER(B189),C189&lt;&gt;"",D189&lt;&gt;"",E189&lt;&gt;"",ISNUMBER(F189)),"OK","PENDENTE"))</x:f>
      </x:c>
    </x:row>
    <x:row r="190">
      <x:c r="B190" s="50"/>
      <x:c r="C190" s="36"/>
      <x:c r="D190" s="36"/>
      <x:c r="E190" s="36"/>
      <x:c r="F190" s="48"/>
      <x:c r="G190" s="36"/>
      <x:c r="H190" t="str">
        <x:f>IF(COUNTA(B190:G190)=0,"",IF(AND(ISNUMBER(B190),C190&lt;&gt;"",D190&lt;&gt;"",E190&lt;&gt;"",ISNUMBER(F190)),"OK","PENDENTE"))</x:f>
      </x:c>
    </x:row>
    <x:row r="191">
      <x:c r="B191" s="50"/>
      <x:c r="C191" s="36"/>
      <x:c r="D191" s="36"/>
      <x:c r="E191" s="36"/>
      <x:c r="F191" s="48"/>
      <x:c r="G191" s="36"/>
      <x:c r="H191" t="str">
        <x:f>IF(COUNTA(B191:G191)=0,"",IF(AND(ISNUMBER(B191),C191&lt;&gt;"",D191&lt;&gt;"",E191&lt;&gt;"",ISNUMBER(F191)),"OK","PENDENTE"))</x:f>
      </x:c>
    </x:row>
    <x:row r="192">
      <x:c r="B192" s="50"/>
      <x:c r="C192" s="36"/>
      <x:c r="D192" s="36"/>
      <x:c r="E192" s="36"/>
      <x:c r="F192" s="48"/>
      <x:c r="G192" s="36"/>
      <x:c r="H192" t="str">
        <x:f>IF(COUNTA(B192:G192)=0,"",IF(AND(ISNUMBER(B192),C192&lt;&gt;"",D192&lt;&gt;"",E192&lt;&gt;"",ISNUMBER(F192)),"OK","PENDENTE"))</x:f>
      </x:c>
    </x:row>
    <x:row r="193">
      <x:c r="B193" s="50"/>
      <x:c r="C193" s="36"/>
      <x:c r="D193" s="36"/>
      <x:c r="E193" s="36"/>
      <x:c r="F193" s="48"/>
      <x:c r="G193" s="36"/>
      <x:c r="H193" t="str">
        <x:f>IF(COUNTA(B193:G193)=0,"",IF(AND(ISNUMBER(B193),C193&lt;&gt;"",D193&lt;&gt;"",E193&lt;&gt;"",ISNUMBER(F193)),"OK","PENDENTE"))</x:f>
      </x:c>
    </x:row>
    <x:row r="194">
      <x:c r="B194" s="50"/>
      <x:c r="C194" s="36"/>
      <x:c r="D194" s="36"/>
      <x:c r="E194" s="36"/>
      <x:c r="F194" s="48"/>
      <x:c r="G194" s="36"/>
      <x:c r="H194" t="str">
        <x:f>IF(COUNTA(B194:G194)=0,"",IF(AND(ISNUMBER(B194),C194&lt;&gt;"",D194&lt;&gt;"",E194&lt;&gt;"",ISNUMBER(F194)),"OK","PENDENTE"))</x:f>
      </x:c>
    </x:row>
    <x:row r="195">
      <x:c r="B195" s="50"/>
      <x:c r="C195" s="36"/>
      <x:c r="D195" s="36"/>
      <x:c r="E195" s="36"/>
      <x:c r="F195" s="48"/>
      <x:c r="G195" s="36"/>
      <x:c r="H195" t="str">
        <x:f>IF(COUNTA(B195:G195)=0,"",IF(AND(ISNUMBER(B195),C195&lt;&gt;"",D195&lt;&gt;"",E195&lt;&gt;"",ISNUMBER(F195)),"OK","PENDENTE"))</x:f>
      </x:c>
    </x:row>
    <x:row r="196">
      <x:c r="B196" s="50"/>
      <x:c r="C196" s="36"/>
      <x:c r="D196" s="36"/>
      <x:c r="E196" s="36"/>
      <x:c r="F196" s="48"/>
      <x:c r="G196" s="36"/>
      <x:c r="H196" t="str">
        <x:f>IF(COUNTA(B196:G196)=0,"",IF(AND(ISNUMBER(B196),C196&lt;&gt;"",D196&lt;&gt;"",E196&lt;&gt;"",ISNUMBER(F196)),"OK","PENDENTE"))</x:f>
      </x:c>
    </x:row>
    <x:row r="197">
      <x:c r="B197" s="50"/>
      <x:c r="C197" s="36"/>
      <x:c r="D197" s="36"/>
      <x:c r="E197" s="36"/>
      <x:c r="F197" s="48"/>
      <x:c r="G197" s="36"/>
      <x:c r="H197" t="str">
        <x:f>IF(COUNTA(B197:G197)=0,"",IF(AND(ISNUMBER(B197),C197&lt;&gt;"",D197&lt;&gt;"",E197&lt;&gt;"",ISNUMBER(F197)),"OK","PENDENTE"))</x:f>
      </x:c>
    </x:row>
    <x:row r="198">
      <x:c r="B198" s="50"/>
      <x:c r="C198" s="36"/>
      <x:c r="D198" s="36"/>
      <x:c r="E198" s="36"/>
      <x:c r="F198" s="48"/>
      <x:c r="G198" s="36"/>
      <x:c r="H198" t="str">
        <x:f>IF(COUNTA(B198:G198)=0,"",IF(AND(ISNUMBER(B198),C198&lt;&gt;"",D198&lt;&gt;"",E198&lt;&gt;"",ISNUMBER(F198)),"OK","PENDENTE"))</x:f>
      </x:c>
    </x:row>
    <x:row r="199">
      <x:c r="B199" s="50"/>
      <x:c r="C199" s="36"/>
      <x:c r="D199" s="36"/>
      <x:c r="E199" s="36"/>
      <x:c r="F199" s="48"/>
      <x:c r="G199" s="36"/>
      <x:c r="H199" t="str">
        <x:f>IF(COUNTA(B199:G199)=0,"",IF(AND(ISNUMBER(B199),C199&lt;&gt;"",D199&lt;&gt;"",E199&lt;&gt;"",ISNUMBER(F199)),"OK","PENDENTE"))</x:f>
      </x:c>
    </x:row>
    <x:row r="200">
      <x:c r="B200" s="50"/>
      <x:c r="C200" s="36"/>
      <x:c r="D200" s="36"/>
      <x:c r="E200" s="36"/>
      <x:c r="F200" s="48"/>
      <x:c r="G200" s="36"/>
      <x:c r="H200" t="str">
        <x:f>IF(COUNTA(B200:G200)=0,"",IF(AND(ISNUMBER(B200),C200&lt;&gt;"",D200&lt;&gt;"",E200&lt;&gt;"",ISNUMBER(F200)),"OK","PENDENTE"))</x:f>
      </x:c>
    </x:row>
    <x:row r="201">
      <x:c r="B201" s="50"/>
      <x:c r="C201" s="36"/>
      <x:c r="D201" s="36"/>
      <x:c r="E201" s="36"/>
      <x:c r="F201" s="48"/>
      <x:c r="G201" s="36"/>
      <x:c r="H201" t="str">
        <x:f>IF(COUNTA(B201:G201)=0,"",IF(AND(ISNUMBER(B201),C201&lt;&gt;"",D201&lt;&gt;"",E201&lt;&gt;"",ISNUMBER(F201)),"OK","PENDENTE"))</x:f>
      </x:c>
    </x:row>
    <x:row r="202">
      <x:c r="B202" s="50"/>
      <x:c r="C202" s="36"/>
      <x:c r="D202" s="36"/>
      <x:c r="E202" s="36"/>
      <x:c r="F202" s="48"/>
      <x:c r="G202" s="36"/>
      <x:c r="H202" t="str">
        <x:f>IF(COUNTA(B202:G202)=0,"",IF(AND(ISNUMBER(B202),C202&lt;&gt;"",D202&lt;&gt;"",E202&lt;&gt;"",ISNUMBER(F202)),"OK","PENDENTE"))</x:f>
      </x:c>
    </x:row>
    <x:row r="203">
      <x:c r="B203" s="50"/>
      <x:c r="C203" s="36"/>
      <x:c r="D203" s="36"/>
      <x:c r="E203" s="36"/>
      <x:c r="F203" s="48"/>
      <x:c r="G203" s="36"/>
      <x:c r="H203" t="str">
        <x:f>IF(COUNTA(B203:G203)=0,"",IF(AND(ISNUMBER(B203),C203&lt;&gt;"",D203&lt;&gt;"",E203&lt;&gt;"",ISNUMBER(F203)),"OK","PENDENTE"))</x:f>
      </x:c>
    </x:row>
    <x:row r="204">
      <x:c r="B204" s="50"/>
      <x:c r="C204" s="36"/>
      <x:c r="D204" s="36"/>
      <x:c r="E204" s="36"/>
      <x:c r="F204" s="48"/>
      <x:c r="G204" s="36"/>
      <x:c r="H204" t="str">
        <x:f>IF(COUNTA(B204:G204)=0,"",IF(AND(ISNUMBER(B204),C204&lt;&gt;"",D204&lt;&gt;"",E204&lt;&gt;"",ISNUMBER(F204)),"OK","PENDENTE"))</x:f>
      </x:c>
    </x:row>
    <x:row r="205">
      <x:c r="B205" s="50"/>
      <x:c r="C205" s="36"/>
      <x:c r="D205" s="36"/>
      <x:c r="E205" s="36"/>
      <x:c r="F205" s="48"/>
      <x:c r="G205" s="36"/>
      <x:c r="H205" t="str">
        <x:f>IF(COUNTA(B205:G205)=0,"",IF(AND(ISNUMBER(B205),C205&lt;&gt;"",D205&lt;&gt;"",E205&lt;&gt;"",ISNUMBER(F205)),"OK","PENDENTE"))</x:f>
      </x:c>
    </x:row>
    <x:row r="206">
      <x:c r="B206" s="50"/>
      <x:c r="C206" s="36"/>
      <x:c r="D206" s="36"/>
      <x:c r="E206" s="36"/>
      <x:c r="F206" s="48"/>
      <x:c r="G206" s="36"/>
      <x:c r="H206" t="str">
        <x:f>IF(COUNTA(B206:G206)=0,"",IF(AND(ISNUMBER(B206),C206&lt;&gt;"",D206&lt;&gt;"",E206&lt;&gt;"",ISNUMBER(F206)),"OK","PENDENTE"))</x:f>
      </x:c>
    </x:row>
    <x:row r="207">
      <x:c r="B207" s="50"/>
      <x:c r="C207" s="36"/>
      <x:c r="D207" s="36"/>
      <x:c r="E207" s="36"/>
      <x:c r="F207" s="48"/>
      <x:c r="G207" s="36"/>
      <x:c r="H207" t="str">
        <x:f>IF(COUNTA(B207:G207)=0,"",IF(AND(ISNUMBER(B207),C207&lt;&gt;"",D207&lt;&gt;"",E207&lt;&gt;"",ISNUMBER(F207)),"OK","PENDENTE"))</x:f>
      </x:c>
    </x:row>
    <x:row r="208">
      <x:c r="B208" s="50"/>
      <x:c r="C208" s="36"/>
      <x:c r="D208" s="36"/>
      <x:c r="E208" s="36"/>
      <x:c r="F208" s="48"/>
      <x:c r="G208" s="36"/>
      <x:c r="H208" t="str">
        <x:f>IF(COUNTA(B208:G208)=0,"",IF(AND(ISNUMBER(B208),C208&lt;&gt;"",D208&lt;&gt;"",E208&lt;&gt;"",ISNUMBER(F208)),"OK","PENDENTE"))</x:f>
      </x:c>
    </x:row>
    <x:row r="209">
      <x:c r="B209" s="50"/>
      <x:c r="C209" s="36"/>
      <x:c r="D209" s="36"/>
      <x:c r="E209" s="36"/>
      <x:c r="F209" s="48"/>
      <x:c r="G209" s="36"/>
      <x:c r="H209" t="str">
        <x:f>IF(COUNTA(B209:G209)=0,"",IF(AND(ISNUMBER(B209),C209&lt;&gt;"",D209&lt;&gt;"",E209&lt;&gt;"",ISNUMBER(F209)),"OK","PENDENTE"))</x:f>
      </x:c>
    </x:row>
    <x:row r="210">
      <x:c r="B210" s="50"/>
      <x:c r="C210" s="36"/>
      <x:c r="D210" s="36"/>
      <x:c r="E210" s="36"/>
      <x:c r="F210" s="48"/>
      <x:c r="G210" s="36"/>
      <x:c r="H210" t="str">
        <x:f>IF(COUNTA(B210:G210)=0,"",IF(AND(ISNUMBER(B210),C210&lt;&gt;"",D210&lt;&gt;"",E210&lt;&gt;"",ISNUMBER(F210)),"OK","PENDENTE"))</x:f>
      </x:c>
    </x:row>
    <x:row r="211">
      <x:c r="B211" s="50"/>
      <x:c r="C211" s="36"/>
      <x:c r="D211" s="36"/>
      <x:c r="E211" s="36"/>
      <x:c r="F211" s="48"/>
      <x:c r="G211" s="36"/>
      <x:c r="H211" t="str">
        <x:f>IF(COUNTA(B211:G211)=0,"",IF(AND(ISNUMBER(B211),C211&lt;&gt;"",D211&lt;&gt;"",E211&lt;&gt;"",ISNUMBER(F211)),"OK","PENDENTE"))</x:f>
      </x:c>
    </x:row>
    <x:row r="212">
      <x:c r="B212" s="50"/>
      <x:c r="C212" s="36"/>
      <x:c r="D212" s="36"/>
      <x:c r="E212" s="36"/>
      <x:c r="F212" s="48"/>
      <x:c r="G212" s="36"/>
      <x:c r="H212" t="str">
        <x:f>IF(COUNTA(B212:G212)=0,"",IF(AND(ISNUMBER(B212),C212&lt;&gt;"",D212&lt;&gt;"",E212&lt;&gt;"",ISNUMBER(F212)),"OK","PENDENTE"))</x:f>
      </x:c>
    </x:row>
    <x:row r="213">
      <x:c r="B213" s="50"/>
      <x:c r="C213" s="36"/>
      <x:c r="D213" s="36"/>
      <x:c r="E213" s="36"/>
      <x:c r="F213" s="48"/>
      <x:c r="G213" s="36"/>
      <x:c r="H213" t="str">
        <x:f>IF(COUNTA(B213:G213)=0,"",IF(AND(ISNUMBER(B213),C213&lt;&gt;"",D213&lt;&gt;"",E213&lt;&gt;"",ISNUMBER(F213)),"OK","PENDENTE"))</x:f>
      </x:c>
    </x:row>
    <x:row r="214">
      <x:c r="B214" s="50"/>
      <x:c r="C214" s="36"/>
      <x:c r="D214" s="36"/>
      <x:c r="E214" s="36"/>
      <x:c r="F214" s="48"/>
      <x:c r="G214" s="36"/>
      <x:c r="H214" t="str">
        <x:f>IF(COUNTA(B214:G214)=0,"",IF(AND(ISNUMBER(B214),C214&lt;&gt;"",D214&lt;&gt;"",E214&lt;&gt;"",ISNUMBER(F214)),"OK","PENDENTE"))</x:f>
      </x:c>
    </x:row>
    <x:row r="215">
      <x:c r="B215" s="50"/>
      <x:c r="C215" s="36"/>
      <x:c r="D215" s="36"/>
      <x:c r="E215" s="36"/>
      <x:c r="F215" s="48"/>
      <x:c r="G215" s="36"/>
      <x:c r="H215" t="str">
        <x:f>IF(COUNTA(B215:G215)=0,"",IF(AND(ISNUMBER(B215),C215&lt;&gt;"",D215&lt;&gt;"",E215&lt;&gt;"",ISNUMBER(F215)),"OK","PENDENTE"))</x:f>
      </x:c>
    </x:row>
    <x:row r="216">
      <x:c r="B216" s="50"/>
      <x:c r="C216" s="36"/>
      <x:c r="D216" s="36"/>
      <x:c r="E216" s="36"/>
      <x:c r="F216" s="48"/>
      <x:c r="G216" s="36"/>
      <x:c r="H216" t="str">
        <x:f>IF(COUNTA(B216:G216)=0,"",IF(AND(ISNUMBER(B216),C216&lt;&gt;"",D216&lt;&gt;"",E216&lt;&gt;"",ISNUMBER(F216)),"OK","PENDENTE"))</x:f>
      </x:c>
    </x:row>
    <x:row r="217">
      <x:c r="B217" s="50"/>
      <x:c r="C217" s="36"/>
      <x:c r="D217" s="36"/>
      <x:c r="E217" s="36"/>
      <x:c r="F217" s="48"/>
      <x:c r="G217" s="36"/>
      <x:c r="H217" t="str">
        <x:f>IF(COUNTA(B217:G217)=0,"",IF(AND(ISNUMBER(B217),C217&lt;&gt;"",D217&lt;&gt;"",E217&lt;&gt;"",ISNUMBER(F217)),"OK","PENDENTE"))</x:f>
      </x:c>
    </x:row>
    <x:row r="218">
      <x:c r="B218" s="50"/>
      <x:c r="C218" s="36"/>
      <x:c r="D218" s="36"/>
      <x:c r="E218" s="36"/>
      <x:c r="F218" s="48"/>
      <x:c r="G218" s="36"/>
      <x:c r="H218" t="str">
        <x:f>IF(COUNTA(B218:G218)=0,"",IF(AND(ISNUMBER(B218),C218&lt;&gt;"",D218&lt;&gt;"",E218&lt;&gt;"",ISNUMBER(F218)),"OK","PENDENTE"))</x:f>
      </x:c>
    </x:row>
    <x:row r="219">
      <x:c r="B219" s="50"/>
      <x:c r="C219" s="36"/>
      <x:c r="D219" s="36"/>
      <x:c r="E219" s="36"/>
      <x:c r="F219" s="48"/>
      <x:c r="G219" s="36"/>
      <x:c r="H219" t="str">
        <x:f>IF(COUNTA(B219:G219)=0,"",IF(AND(ISNUMBER(B219),C219&lt;&gt;"",D219&lt;&gt;"",E219&lt;&gt;"",ISNUMBER(F219)),"OK","PENDENTE"))</x:f>
      </x:c>
    </x:row>
    <x:row r="220">
      <x:c r="B220" s="50"/>
      <x:c r="C220" s="36"/>
      <x:c r="D220" s="36"/>
      <x:c r="E220" s="36"/>
      <x:c r="F220" s="48"/>
      <x:c r="G220" s="36"/>
      <x:c r="H220" t="str">
        <x:f>IF(COUNTA(B220:G220)=0,"",IF(AND(ISNUMBER(B220),C220&lt;&gt;"",D220&lt;&gt;"",E220&lt;&gt;"",ISNUMBER(F220)),"OK","PENDENTE"))</x:f>
      </x:c>
    </x:row>
    <x:row r="221">
      <x:c r="B221" s="50"/>
      <x:c r="C221" s="36"/>
      <x:c r="D221" s="36"/>
      <x:c r="E221" s="36"/>
      <x:c r="F221" s="48"/>
      <x:c r="G221" s="36"/>
      <x:c r="H221" t="str">
        <x:f>IF(COUNTA(B221:G221)=0,"",IF(AND(ISNUMBER(B221),C221&lt;&gt;"",D221&lt;&gt;"",E221&lt;&gt;"",ISNUMBER(F221)),"OK","PENDENTE"))</x:f>
      </x:c>
    </x:row>
    <x:row r="222">
      <x:c r="B222" s="50"/>
      <x:c r="C222" s="36"/>
      <x:c r="D222" s="36"/>
      <x:c r="E222" s="36"/>
      <x:c r="F222" s="48"/>
      <x:c r="G222" s="36"/>
      <x:c r="H222" t="str">
        <x:f>IF(COUNTA(B222:G222)=0,"",IF(AND(ISNUMBER(B222),C222&lt;&gt;"",D222&lt;&gt;"",E222&lt;&gt;"",ISNUMBER(F222)),"OK","PENDENTE"))</x:f>
      </x:c>
    </x:row>
    <x:row r="223">
      <x:c r="B223" s="50"/>
      <x:c r="C223" s="36"/>
      <x:c r="D223" s="36"/>
      <x:c r="E223" s="36"/>
      <x:c r="F223" s="48"/>
      <x:c r="G223" s="36"/>
      <x:c r="H223" t="str">
        <x:f>IF(COUNTA(B223:G223)=0,"",IF(AND(ISNUMBER(B223),C223&lt;&gt;"",D223&lt;&gt;"",E223&lt;&gt;"",ISNUMBER(F223)),"OK","PENDENTE"))</x:f>
      </x:c>
    </x:row>
    <x:row r="224">
      <x:c r="B224" s="50"/>
      <x:c r="C224" s="36"/>
      <x:c r="D224" s="36"/>
      <x:c r="E224" s="36"/>
      <x:c r="F224" s="48"/>
      <x:c r="G224" s="36"/>
      <x:c r="H224" t="str">
        <x:f>IF(COUNTA(B224:G224)=0,"",IF(AND(ISNUMBER(B224),C224&lt;&gt;"",D224&lt;&gt;"",E224&lt;&gt;"",ISNUMBER(F224)),"OK","PENDENTE"))</x:f>
      </x:c>
    </x:row>
    <x:row r="225">
      <x:c r="B225" s="50"/>
      <x:c r="C225" s="36"/>
      <x:c r="D225" s="36"/>
      <x:c r="E225" s="36"/>
      <x:c r="F225" s="48"/>
      <x:c r="G225" s="36"/>
      <x:c r="H225" t="str">
        <x:f>IF(COUNTA(B225:G225)=0,"",IF(AND(ISNUMBER(B225),C225&lt;&gt;"",D225&lt;&gt;"",E225&lt;&gt;"",ISNUMBER(F225)),"OK","PENDENTE"))</x:f>
      </x:c>
    </x:row>
    <x:row r="226">
      <x:c r="B226" s="50"/>
      <x:c r="C226" s="36"/>
      <x:c r="D226" s="36"/>
      <x:c r="E226" s="36"/>
      <x:c r="F226" s="48"/>
      <x:c r="G226" s="36"/>
      <x:c r="H226" t="str">
        <x:f>IF(COUNTA(B226:G226)=0,"",IF(AND(ISNUMBER(B226),C226&lt;&gt;"",D226&lt;&gt;"",E226&lt;&gt;"",ISNUMBER(F226)),"OK","PENDENTE"))</x:f>
      </x:c>
    </x:row>
    <x:row r="227">
      <x:c r="B227" s="50"/>
      <x:c r="C227" s="36"/>
      <x:c r="D227" s="36"/>
      <x:c r="E227" s="36"/>
      <x:c r="F227" s="48"/>
      <x:c r="G227" s="36"/>
      <x:c r="H227" t="str">
        <x:f>IF(COUNTA(B227:G227)=0,"",IF(AND(ISNUMBER(B227),C227&lt;&gt;"",D227&lt;&gt;"",E227&lt;&gt;"",ISNUMBER(F227)),"OK","PENDENTE"))</x:f>
      </x:c>
    </x:row>
    <x:row r="228">
      <x:c r="B228" s="50"/>
      <x:c r="C228" s="36"/>
      <x:c r="D228" s="36"/>
      <x:c r="E228" s="36"/>
      <x:c r="F228" s="48"/>
      <x:c r="G228" s="36"/>
      <x:c r="H228" t="str">
        <x:f>IF(COUNTA(B228:G228)=0,"",IF(AND(ISNUMBER(B228),C228&lt;&gt;"",D228&lt;&gt;"",E228&lt;&gt;"",ISNUMBER(F228)),"OK","PENDENTE"))</x:f>
      </x:c>
    </x:row>
    <x:row r="229">
      <x:c r="B229" s="50"/>
      <x:c r="C229" s="36"/>
      <x:c r="D229" s="36"/>
      <x:c r="E229" s="36"/>
      <x:c r="F229" s="48"/>
      <x:c r="G229" s="36"/>
      <x:c r="H229" t="str">
        <x:f>IF(COUNTA(B229:G229)=0,"",IF(AND(ISNUMBER(B229),C229&lt;&gt;"",D229&lt;&gt;"",E229&lt;&gt;"",ISNUMBER(F229)),"OK","PENDENTE"))</x:f>
      </x:c>
    </x:row>
    <x:row r="230">
      <x:c r="B230" s="50"/>
      <x:c r="C230" s="36"/>
      <x:c r="D230" s="36"/>
      <x:c r="E230" s="36"/>
      <x:c r="F230" s="48"/>
      <x:c r="G230" s="36"/>
      <x:c r="H230" t="str">
        <x:f>IF(COUNTA(B230:G230)=0,"",IF(AND(ISNUMBER(B230),C230&lt;&gt;"",D230&lt;&gt;"",E230&lt;&gt;"",ISNUMBER(F230)),"OK","PENDENTE"))</x:f>
      </x:c>
    </x:row>
    <x:row r="231">
      <x:c r="B231" s="50"/>
      <x:c r="C231" s="36"/>
      <x:c r="D231" s="36"/>
      <x:c r="E231" s="36"/>
      <x:c r="F231" s="48"/>
      <x:c r="G231" s="36"/>
      <x:c r="H231" t="str">
        <x:f>IF(COUNTA(B231:G231)=0,"",IF(AND(ISNUMBER(B231),C231&lt;&gt;"",D231&lt;&gt;"",E231&lt;&gt;"",ISNUMBER(F231)),"OK","PENDENTE"))</x:f>
      </x:c>
    </x:row>
    <x:row r="232">
      <x:c r="B232" s="50"/>
      <x:c r="C232" s="36"/>
      <x:c r="D232" s="36"/>
      <x:c r="E232" s="36"/>
      <x:c r="F232" s="48"/>
      <x:c r="G232" s="36"/>
      <x:c r="H232" t="str">
        <x:f>IF(COUNTA(B232:G232)=0,"",IF(AND(ISNUMBER(B232),C232&lt;&gt;"",D232&lt;&gt;"",E232&lt;&gt;"",ISNUMBER(F232)),"OK","PENDENTE"))</x:f>
      </x:c>
    </x:row>
    <x:row r="233">
      <x:c r="B233" s="50"/>
      <x:c r="C233" s="36"/>
      <x:c r="D233" s="36"/>
      <x:c r="E233" s="36"/>
      <x:c r="F233" s="48"/>
      <x:c r="G233" s="36"/>
      <x:c r="H233" t="str">
        <x:f>IF(COUNTA(B233:G233)=0,"",IF(AND(ISNUMBER(B233),C233&lt;&gt;"",D233&lt;&gt;"",E233&lt;&gt;"",ISNUMBER(F233)),"OK","PENDENTE"))</x:f>
      </x:c>
    </x:row>
    <x:row r="234">
      <x:c r="B234" s="50"/>
      <x:c r="C234" s="36"/>
      <x:c r="D234" s="36"/>
      <x:c r="E234" s="36"/>
      <x:c r="F234" s="48"/>
      <x:c r="G234" s="36"/>
      <x:c r="H234" t="str">
        <x:f>IF(COUNTA(B234:G234)=0,"",IF(AND(ISNUMBER(B234),C234&lt;&gt;"",D234&lt;&gt;"",E234&lt;&gt;"",ISNUMBER(F234)),"OK","PENDENTE"))</x:f>
      </x:c>
    </x:row>
    <x:row r="235">
      <x:c r="B235" s="50"/>
      <x:c r="C235" s="36"/>
      <x:c r="D235" s="36"/>
      <x:c r="E235" s="36"/>
      <x:c r="F235" s="48"/>
      <x:c r="G235" s="36"/>
      <x:c r="H235" t="str">
        <x:f>IF(COUNTA(B235:G235)=0,"",IF(AND(ISNUMBER(B235),C235&lt;&gt;"",D235&lt;&gt;"",E235&lt;&gt;"",ISNUMBER(F235)),"OK","PENDENTE"))</x:f>
      </x:c>
    </x:row>
    <x:row r="236">
      <x:c r="B236" s="50"/>
      <x:c r="C236" s="36"/>
      <x:c r="D236" s="36"/>
      <x:c r="E236" s="36"/>
      <x:c r="F236" s="48"/>
      <x:c r="G236" s="36"/>
      <x:c r="H236" t="str">
        <x:f>IF(COUNTA(B236:G236)=0,"",IF(AND(ISNUMBER(B236),C236&lt;&gt;"",D236&lt;&gt;"",E236&lt;&gt;"",ISNUMBER(F236)),"OK","PENDENTE"))</x:f>
      </x:c>
    </x:row>
    <x:row r="237">
      <x:c r="B237" s="50"/>
      <x:c r="C237" s="36"/>
      <x:c r="D237" s="36"/>
      <x:c r="E237" s="36"/>
      <x:c r="F237" s="48"/>
      <x:c r="G237" s="36"/>
      <x:c r="H237" t="str">
        <x:f>IF(COUNTA(B237:G237)=0,"",IF(AND(ISNUMBER(B237),C237&lt;&gt;"",D237&lt;&gt;"",E237&lt;&gt;"",ISNUMBER(F237)),"OK","PENDENTE"))</x:f>
      </x:c>
    </x:row>
    <x:row r="238">
      <x:c r="B238" s="50"/>
      <x:c r="C238" s="36"/>
      <x:c r="D238" s="36"/>
      <x:c r="E238" s="36"/>
      <x:c r="F238" s="48"/>
      <x:c r="G238" s="36"/>
      <x:c r="H238" t="str">
        <x:f>IF(COUNTA(B238:G238)=0,"",IF(AND(ISNUMBER(B238),C238&lt;&gt;"",D238&lt;&gt;"",E238&lt;&gt;"",ISNUMBER(F238)),"OK","PENDENTE"))</x:f>
      </x:c>
    </x:row>
    <x:row r="239">
      <x:c r="B239" s="50"/>
      <x:c r="C239" s="36"/>
      <x:c r="D239" s="36"/>
      <x:c r="E239" s="36"/>
      <x:c r="F239" s="48"/>
      <x:c r="G239" s="36"/>
      <x:c r="H239" t="str">
        <x:f>IF(COUNTA(B239:G239)=0,"",IF(AND(ISNUMBER(B239),C239&lt;&gt;"",D239&lt;&gt;"",E239&lt;&gt;"",ISNUMBER(F239)),"OK","PENDENTE"))</x:f>
      </x:c>
    </x:row>
    <x:row r="240">
      <x:c r="B240" s="50"/>
      <x:c r="C240" s="36"/>
      <x:c r="D240" s="36"/>
      <x:c r="E240" s="36"/>
      <x:c r="F240" s="48"/>
      <x:c r="G240" s="36"/>
      <x:c r="H240" t="str">
        <x:f>IF(COUNTA(B240:G240)=0,"",IF(AND(ISNUMBER(B240),C240&lt;&gt;"",D240&lt;&gt;"",E240&lt;&gt;"",ISNUMBER(F240)),"OK","PENDENTE"))</x:f>
      </x:c>
    </x:row>
    <x:row r="241">
      <x:c r="B241" s="50"/>
      <x:c r="C241" s="36"/>
      <x:c r="D241" s="36"/>
      <x:c r="E241" s="36"/>
      <x:c r="F241" s="48"/>
      <x:c r="G241" s="36"/>
      <x:c r="H241" t="str">
        <x:f>IF(COUNTA(B241:G241)=0,"",IF(AND(ISNUMBER(B241),C241&lt;&gt;"",D241&lt;&gt;"",E241&lt;&gt;"",ISNUMBER(F241)),"OK","PENDENTE"))</x:f>
      </x:c>
    </x:row>
    <x:row r="242">
      <x:c r="B242" s="50"/>
      <x:c r="C242" s="36"/>
      <x:c r="D242" s="36"/>
      <x:c r="E242" s="36"/>
      <x:c r="F242" s="48"/>
      <x:c r="G242" s="36"/>
      <x:c r="H242" t="str">
        <x:f>IF(COUNTA(B242:G242)=0,"",IF(AND(ISNUMBER(B242),C242&lt;&gt;"",D242&lt;&gt;"",E242&lt;&gt;"",ISNUMBER(F242)),"OK","PENDENTE"))</x:f>
      </x:c>
    </x:row>
    <x:row r="243">
      <x:c r="B243" s="50"/>
      <x:c r="C243" s="36"/>
      <x:c r="D243" s="36"/>
      <x:c r="E243" s="36"/>
      <x:c r="F243" s="48"/>
      <x:c r="G243" s="36"/>
      <x:c r="H243" t="str">
        <x:f>IF(COUNTA(B243:G243)=0,"",IF(AND(ISNUMBER(B243),C243&lt;&gt;"",D243&lt;&gt;"",E243&lt;&gt;"",ISNUMBER(F243)),"OK","PENDENTE"))</x:f>
      </x:c>
    </x:row>
    <x:row r="244">
      <x:c r="B244" s="50"/>
      <x:c r="C244" s="36"/>
      <x:c r="D244" s="36"/>
      <x:c r="E244" s="36"/>
      <x:c r="F244" s="48"/>
      <x:c r="G244" s="36"/>
      <x:c r="H244" t="str">
        <x:f>IF(COUNTA(B244:G244)=0,"",IF(AND(ISNUMBER(B244),C244&lt;&gt;"",D244&lt;&gt;"",E244&lt;&gt;"",ISNUMBER(F244)),"OK","PENDENTE"))</x:f>
      </x:c>
    </x:row>
    <x:row r="245">
      <x:c r="B245" s="50"/>
      <x:c r="C245" s="36"/>
      <x:c r="D245" s="36"/>
      <x:c r="E245" s="36"/>
      <x:c r="F245" s="48"/>
      <x:c r="G245" s="36"/>
      <x:c r="H245" t="str">
        <x:f>IF(COUNTA(B245:G245)=0,"",IF(AND(ISNUMBER(B245),C245&lt;&gt;"",D245&lt;&gt;"",E245&lt;&gt;"",ISNUMBER(F245)),"OK","PENDENTE"))</x:f>
      </x:c>
    </x:row>
    <x:row r="246">
      <x:c r="B246" s="50"/>
      <x:c r="C246" s="36"/>
      <x:c r="D246" s="36"/>
      <x:c r="E246" s="36"/>
      <x:c r="F246" s="48"/>
      <x:c r="G246" s="36"/>
      <x:c r="H246" t="str">
        <x:f>IF(COUNTA(B246:G246)=0,"",IF(AND(ISNUMBER(B246),C246&lt;&gt;"",D246&lt;&gt;"",E246&lt;&gt;"",ISNUMBER(F246)),"OK","PENDENTE"))</x:f>
      </x:c>
    </x:row>
    <x:row r="247">
      <x:c r="B247" s="50"/>
      <x:c r="C247" s="36"/>
      <x:c r="D247" s="36"/>
      <x:c r="E247" s="36"/>
      <x:c r="F247" s="48"/>
      <x:c r="G247" s="36"/>
      <x:c r="H247" t="str">
        <x:f>IF(COUNTA(B247:G247)=0,"",IF(AND(ISNUMBER(B247),C247&lt;&gt;"",D247&lt;&gt;"",E247&lt;&gt;"",ISNUMBER(F247)),"OK","PENDENTE"))</x:f>
      </x:c>
    </x:row>
    <x:row r="248">
      <x:c r="B248" s="50"/>
      <x:c r="C248" s="36"/>
      <x:c r="D248" s="36"/>
      <x:c r="E248" s="36"/>
      <x:c r="F248" s="48"/>
      <x:c r="G248" s="36"/>
      <x:c r="H248" t="str">
        <x:f>IF(COUNTA(B248:G248)=0,"",IF(AND(ISNUMBER(B248),C248&lt;&gt;"",D248&lt;&gt;"",E248&lt;&gt;"",ISNUMBER(F248)),"OK","PENDENTE"))</x:f>
      </x:c>
    </x:row>
    <x:row r="249">
      <x:c r="B249" s="50"/>
      <x:c r="C249" s="36"/>
      <x:c r="D249" s="36"/>
      <x:c r="E249" s="36"/>
      <x:c r="F249" s="48"/>
      <x:c r="G249" s="36"/>
      <x:c r="H249" t="str">
        <x:f>IF(COUNTA(B249:G249)=0,"",IF(AND(ISNUMBER(B249),C249&lt;&gt;"",D249&lt;&gt;"",E249&lt;&gt;"",ISNUMBER(F249)),"OK","PENDENTE"))</x:f>
      </x:c>
    </x:row>
    <x:row r="250">
      <x:c r="B250" s="50"/>
      <x:c r="C250" s="36"/>
      <x:c r="D250" s="36"/>
      <x:c r="E250" s="36"/>
      <x:c r="F250" s="48"/>
      <x:c r="G250" s="36"/>
      <x:c r="H250" t="str">
        <x:f>IF(COUNTA(B250:G250)=0,"",IF(AND(ISNUMBER(B250),C250&lt;&gt;"",D250&lt;&gt;"",E250&lt;&gt;"",ISNUMBER(F250)),"OK","PENDENTE"))</x:f>
      </x:c>
    </x:row>
    <x:row r="251">
      <x:c r="B251" s="50"/>
      <x:c r="C251" s="36"/>
      <x:c r="D251" s="36"/>
      <x:c r="E251" s="36"/>
      <x:c r="F251" s="48"/>
      <x:c r="G251" s="36"/>
      <x:c r="H251" t="str">
        <x:f>IF(COUNTA(B251:G251)=0,"",IF(AND(ISNUMBER(B251),C251&lt;&gt;"",D251&lt;&gt;"",E251&lt;&gt;"",ISNUMBER(F251)),"OK","PENDENTE"))</x:f>
      </x:c>
    </x:row>
    <x:row r="252">
      <x:c r="B252" s="50"/>
      <x:c r="C252" s="36"/>
      <x:c r="D252" s="36"/>
      <x:c r="E252" s="36"/>
      <x:c r="F252" s="48"/>
      <x:c r="G252" s="36"/>
      <x:c r="H252" t="str">
        <x:f>IF(COUNTA(B252:G252)=0,"",IF(AND(ISNUMBER(B252),C252&lt;&gt;"",D252&lt;&gt;"",E252&lt;&gt;"",ISNUMBER(F252)),"OK","PENDENTE"))</x:f>
      </x:c>
    </x:row>
    <x:row r="253">
      <x:c r="B253" s="50"/>
      <x:c r="C253" s="36"/>
      <x:c r="D253" s="36"/>
      <x:c r="E253" s="36"/>
      <x:c r="F253" s="48"/>
      <x:c r="G253" s="36"/>
      <x:c r="H253" t="str">
        <x:f>IF(COUNTA(B253:G253)=0,"",IF(AND(ISNUMBER(B253),C253&lt;&gt;"",D253&lt;&gt;"",E253&lt;&gt;"",ISNUMBER(F253)),"OK","PENDENTE"))</x:f>
      </x:c>
    </x:row>
    <x:row r="254">
      <x:c r="B254" s="50"/>
      <x:c r="C254" s="36"/>
      <x:c r="D254" s="36"/>
      <x:c r="E254" s="36"/>
      <x:c r="F254" s="48"/>
      <x:c r="G254" s="36"/>
      <x:c r="H254" t="str">
        <x:f>IF(COUNTA(B254:G254)=0,"",IF(AND(ISNUMBER(B254),C254&lt;&gt;"",D254&lt;&gt;"",E254&lt;&gt;"",ISNUMBER(F254)),"OK","PENDENTE"))</x:f>
      </x:c>
    </x:row>
    <x:row r="255">
      <x:c r="B255" s="50"/>
      <x:c r="C255" s="36"/>
      <x:c r="D255" s="36"/>
      <x:c r="E255" s="36"/>
      <x:c r="F255" s="48"/>
      <x:c r="G255" s="36"/>
      <x:c r="H255" t="str">
        <x:f>IF(COUNTA(B255:G255)=0,"",IF(AND(ISNUMBER(B255),C255&lt;&gt;"",D255&lt;&gt;"",E255&lt;&gt;"",ISNUMBER(F255)),"OK","PENDENTE"))</x:f>
      </x:c>
    </x:row>
    <x:row r="256">
      <x:c r="B256" s="50"/>
      <x:c r="C256" s="36"/>
      <x:c r="D256" s="36"/>
      <x:c r="E256" s="36"/>
      <x:c r="F256" s="48"/>
      <x:c r="G256" s="36"/>
      <x:c r="H256" t="str">
        <x:f>IF(COUNTA(B256:G256)=0,"",IF(AND(ISNUMBER(B256),C256&lt;&gt;"",D256&lt;&gt;"",E256&lt;&gt;"",ISNUMBER(F256)),"OK","PENDENTE"))</x:f>
      </x:c>
    </x:row>
    <x:row r="257">
      <x:c r="B257" s="50"/>
      <x:c r="C257" s="36"/>
      <x:c r="D257" s="36"/>
      <x:c r="E257" s="36"/>
      <x:c r="F257" s="48"/>
      <x:c r="G257" s="36"/>
      <x:c r="H257" t="str">
        <x:f>IF(COUNTA(B257:G257)=0,"",IF(AND(ISNUMBER(B257),C257&lt;&gt;"",D257&lt;&gt;"",E257&lt;&gt;"",ISNUMBER(F257)),"OK","PENDENTE"))</x:f>
      </x:c>
    </x:row>
    <x:row r="258">
      <x:c r="B258" s="50"/>
      <x:c r="C258" s="36"/>
      <x:c r="D258" s="36"/>
      <x:c r="E258" s="36"/>
      <x:c r="F258" s="48"/>
      <x:c r="G258" s="36"/>
      <x:c r="H258" t="str">
        <x:f>IF(COUNTA(B258:G258)=0,"",IF(AND(ISNUMBER(B258),C258&lt;&gt;"",D258&lt;&gt;"",E258&lt;&gt;"",ISNUMBER(F258)),"OK","PENDENTE"))</x:f>
      </x:c>
    </x:row>
    <x:row r="259">
      <x:c r="B259" s="50"/>
      <x:c r="C259" s="36"/>
      <x:c r="D259" s="36"/>
      <x:c r="E259" s="36"/>
      <x:c r="F259" s="48"/>
      <x:c r="G259" s="36"/>
      <x:c r="H259" t="str">
        <x:f>IF(COUNTA(B259:G259)=0,"",IF(AND(ISNUMBER(B259),C259&lt;&gt;"",D259&lt;&gt;"",E259&lt;&gt;"",ISNUMBER(F259)),"OK","PENDENTE"))</x:f>
      </x:c>
    </x:row>
    <x:row r="260">
      <x:c r="B260" s="50"/>
      <x:c r="C260" s="36"/>
      <x:c r="D260" s="36"/>
      <x:c r="E260" s="36"/>
      <x:c r="F260" s="48"/>
      <x:c r="G260" s="36"/>
      <x:c r="H260" t="str">
        <x:f>IF(COUNTA(B260:G260)=0,"",IF(AND(ISNUMBER(B260),C260&lt;&gt;"",D260&lt;&gt;"",E260&lt;&gt;"",ISNUMBER(F260)),"OK","PENDENTE"))</x:f>
      </x:c>
    </x:row>
    <x:row r="261">
      <x:c r="B261" s="50"/>
      <x:c r="C261" s="36"/>
      <x:c r="D261" s="36"/>
      <x:c r="E261" s="36"/>
      <x:c r="F261" s="48"/>
      <x:c r="G261" s="36"/>
      <x:c r="H261" t="str">
        <x:f>IF(COUNTA(B261:G261)=0,"",IF(AND(ISNUMBER(B261),C261&lt;&gt;"",D261&lt;&gt;"",E261&lt;&gt;"",ISNUMBER(F261)),"OK","PENDENTE"))</x:f>
      </x:c>
    </x:row>
    <x:row r="262">
      <x:c r="B262" s="50"/>
      <x:c r="C262" s="36"/>
      <x:c r="D262" s="36"/>
      <x:c r="E262" s="36"/>
      <x:c r="F262" s="48"/>
      <x:c r="G262" s="36"/>
      <x:c r="H262" t="str">
        <x:f>IF(COUNTA(B262:G262)=0,"",IF(AND(ISNUMBER(B262),C262&lt;&gt;"",D262&lt;&gt;"",E262&lt;&gt;"",ISNUMBER(F262)),"OK","PENDENTE"))</x:f>
      </x:c>
    </x:row>
    <x:row r="263">
      <x:c r="B263" s="50"/>
      <x:c r="C263" s="36"/>
      <x:c r="D263" s="36"/>
      <x:c r="E263" s="36"/>
      <x:c r="F263" s="48"/>
      <x:c r="G263" s="36"/>
      <x:c r="H263" t="str">
        <x:f>IF(COUNTA(B263:G263)=0,"",IF(AND(ISNUMBER(B263),C263&lt;&gt;"",D263&lt;&gt;"",E263&lt;&gt;"",ISNUMBER(F263)),"OK","PENDENTE"))</x:f>
      </x:c>
    </x:row>
    <x:row r="264">
      <x:c r="B264" s="50"/>
      <x:c r="C264" s="36"/>
      <x:c r="D264" s="36"/>
      <x:c r="E264" s="36"/>
      <x:c r="F264" s="48"/>
      <x:c r="G264" s="36"/>
      <x:c r="H264" t="str">
        <x:f>IF(COUNTA(B264:G264)=0,"",IF(AND(ISNUMBER(B264),C264&lt;&gt;"",D264&lt;&gt;"",E264&lt;&gt;"",ISNUMBER(F264)),"OK","PENDENTE"))</x:f>
      </x:c>
    </x:row>
    <x:row r="265">
      <x:c r="B265" s="50"/>
      <x:c r="C265" s="36"/>
      <x:c r="D265" s="36"/>
      <x:c r="E265" s="36"/>
      <x:c r="F265" s="48"/>
      <x:c r="G265" s="36"/>
      <x:c r="H265" t="str">
        <x:f>IF(COUNTA(B265:G265)=0,"",IF(AND(ISNUMBER(B265),C265&lt;&gt;"",D265&lt;&gt;"",E265&lt;&gt;"",ISNUMBER(F265)),"OK","PENDENTE"))</x:f>
      </x:c>
    </x:row>
    <x:row r="266">
      <x:c r="B266" s="50"/>
      <x:c r="C266" s="36"/>
      <x:c r="D266" s="36"/>
      <x:c r="E266" s="36"/>
      <x:c r="F266" s="48"/>
      <x:c r="G266" s="36"/>
      <x:c r="H266" t="str">
        <x:f>IF(COUNTA(B266:G266)=0,"",IF(AND(ISNUMBER(B266),C266&lt;&gt;"",D266&lt;&gt;"",E266&lt;&gt;"",ISNUMBER(F266)),"OK","PENDENTE"))</x:f>
      </x:c>
    </x:row>
    <x:row r="267">
      <x:c r="B267" s="50"/>
      <x:c r="C267" s="36"/>
      <x:c r="D267" s="36"/>
      <x:c r="E267" s="36"/>
      <x:c r="F267" s="48"/>
      <x:c r="G267" s="36"/>
      <x:c r="H267" t="str">
        <x:f>IF(COUNTA(B267:G267)=0,"",IF(AND(ISNUMBER(B267),C267&lt;&gt;"",D267&lt;&gt;"",E267&lt;&gt;"",ISNUMBER(F267)),"OK","PENDENTE"))</x:f>
      </x:c>
    </x:row>
    <x:row r="268">
      <x:c r="B268" s="50"/>
      <x:c r="C268" s="36"/>
      <x:c r="D268" s="36"/>
      <x:c r="E268" s="36"/>
      <x:c r="F268" s="48"/>
      <x:c r="G268" s="36"/>
      <x:c r="H268" t="str">
        <x:f>IF(COUNTA(B268:G268)=0,"",IF(AND(ISNUMBER(B268),C268&lt;&gt;"",D268&lt;&gt;"",E268&lt;&gt;"",ISNUMBER(F268)),"OK","PENDENTE"))</x:f>
      </x:c>
    </x:row>
    <x:row r="269">
      <x:c r="B269" s="50"/>
      <x:c r="C269" s="36"/>
      <x:c r="D269" s="36"/>
      <x:c r="E269" s="36"/>
      <x:c r="F269" s="48"/>
      <x:c r="G269" s="36"/>
      <x:c r="H269" t="str">
        <x:f>IF(COUNTA(B269:G269)=0,"",IF(AND(ISNUMBER(B269),C269&lt;&gt;"",D269&lt;&gt;"",E269&lt;&gt;"",ISNUMBER(F269)),"OK","PENDENTE"))</x:f>
      </x:c>
    </x:row>
    <x:row r="270">
      <x:c r="B270" s="50"/>
      <x:c r="C270" s="36"/>
      <x:c r="D270" s="36"/>
      <x:c r="E270" s="36"/>
      <x:c r="F270" s="48"/>
      <x:c r="G270" s="36"/>
      <x:c r="H270" t="str">
        <x:f>IF(COUNTA(B270:G270)=0,"",IF(AND(ISNUMBER(B270),C270&lt;&gt;"",D270&lt;&gt;"",E270&lt;&gt;"",ISNUMBER(F270)),"OK","PENDENTE"))</x:f>
      </x:c>
    </x:row>
    <x:row r="271">
      <x:c r="B271" s="50"/>
      <x:c r="C271" s="36"/>
      <x:c r="D271" s="36"/>
      <x:c r="E271" s="36"/>
      <x:c r="F271" s="48"/>
      <x:c r="G271" s="36"/>
      <x:c r="H271" t="str">
        <x:f>IF(COUNTA(B271:G271)=0,"",IF(AND(ISNUMBER(B271),C271&lt;&gt;"",D271&lt;&gt;"",E271&lt;&gt;"",ISNUMBER(F271)),"OK","PENDENTE"))</x:f>
      </x:c>
    </x:row>
    <x:row r="272">
      <x:c r="B272" s="50"/>
      <x:c r="C272" s="36"/>
      <x:c r="D272" s="36"/>
      <x:c r="E272" s="36"/>
      <x:c r="F272" s="48"/>
      <x:c r="G272" s="36"/>
      <x:c r="H272" t="str">
        <x:f>IF(COUNTA(B272:G272)=0,"",IF(AND(ISNUMBER(B272),C272&lt;&gt;"",D272&lt;&gt;"",E272&lt;&gt;"",ISNUMBER(F272)),"OK","PENDENTE"))</x:f>
      </x:c>
    </x:row>
    <x:row r="273">
      <x:c r="B273" s="50"/>
      <x:c r="C273" s="36"/>
      <x:c r="D273" s="36"/>
      <x:c r="E273" s="36"/>
      <x:c r="F273" s="48"/>
      <x:c r="G273" s="36"/>
      <x:c r="H273" t="str">
        <x:f>IF(COUNTA(B273:G273)=0,"",IF(AND(ISNUMBER(B273),C273&lt;&gt;"",D273&lt;&gt;"",E273&lt;&gt;"",ISNUMBER(F273)),"OK","PENDENTE"))</x:f>
      </x:c>
    </x:row>
    <x:row r="274">
      <x:c r="B274" s="50"/>
      <x:c r="C274" s="36"/>
      <x:c r="D274" s="36"/>
      <x:c r="E274" s="36"/>
      <x:c r="F274" s="48"/>
      <x:c r="G274" s="36"/>
      <x:c r="H274" t="str">
        <x:f>IF(COUNTA(B274:G274)=0,"",IF(AND(ISNUMBER(B274),C274&lt;&gt;"",D274&lt;&gt;"",E274&lt;&gt;"",ISNUMBER(F274)),"OK","PENDENTE"))</x:f>
      </x:c>
    </x:row>
    <x:row r="275">
      <x:c r="B275" s="50"/>
      <x:c r="C275" s="36"/>
      <x:c r="D275" s="36"/>
      <x:c r="E275" s="36"/>
      <x:c r="F275" s="48"/>
      <x:c r="G275" s="36"/>
      <x:c r="H275" t="str">
        <x:f>IF(COUNTA(B275:G275)=0,"",IF(AND(ISNUMBER(B275),C275&lt;&gt;"",D275&lt;&gt;"",E275&lt;&gt;"",ISNUMBER(F275)),"OK","PENDENTE"))</x:f>
      </x:c>
    </x:row>
    <x:row r="276">
      <x:c r="B276" s="50"/>
      <x:c r="C276" s="36"/>
      <x:c r="D276" s="36"/>
      <x:c r="E276" s="36"/>
      <x:c r="F276" s="48"/>
      <x:c r="G276" s="36"/>
      <x:c r="H276" t="str">
        <x:f>IF(COUNTA(B276:G276)=0,"",IF(AND(ISNUMBER(B276),C276&lt;&gt;"",D276&lt;&gt;"",E276&lt;&gt;"",ISNUMBER(F276)),"OK","PENDENTE"))</x:f>
      </x:c>
    </x:row>
    <x:row r="277">
      <x:c r="B277" s="50"/>
      <x:c r="C277" s="36"/>
      <x:c r="D277" s="36"/>
      <x:c r="E277" s="36"/>
      <x:c r="F277" s="48"/>
      <x:c r="G277" s="36"/>
      <x:c r="H277" t="str">
        <x:f>IF(COUNTA(B277:G277)=0,"",IF(AND(ISNUMBER(B277),C277&lt;&gt;"",D277&lt;&gt;"",E277&lt;&gt;"",ISNUMBER(F277)),"OK","PENDENTE"))</x:f>
      </x:c>
    </x:row>
    <x:row r="278">
      <x:c r="B278" s="50"/>
      <x:c r="C278" s="36"/>
      <x:c r="D278" s="36"/>
      <x:c r="E278" s="36"/>
      <x:c r="F278" s="48"/>
      <x:c r="G278" s="36"/>
      <x:c r="H278" t="str">
        <x:f>IF(COUNTA(B278:G278)=0,"",IF(AND(ISNUMBER(B278),C278&lt;&gt;"",D278&lt;&gt;"",E278&lt;&gt;"",ISNUMBER(F278)),"OK","PENDENTE"))</x:f>
      </x:c>
    </x:row>
    <x:row r="279">
      <x:c r="B279" s="50"/>
      <x:c r="C279" s="36"/>
      <x:c r="D279" s="36"/>
      <x:c r="E279" s="36"/>
      <x:c r="F279" s="48"/>
      <x:c r="G279" s="36"/>
      <x:c r="H279" t="str">
        <x:f>IF(COUNTA(B279:G279)=0,"",IF(AND(ISNUMBER(B279),C279&lt;&gt;"",D279&lt;&gt;"",E279&lt;&gt;"",ISNUMBER(F279)),"OK","PENDENTE"))</x:f>
      </x:c>
    </x:row>
    <x:row r="280">
      <x:c r="B280" s="50"/>
      <x:c r="C280" s="36"/>
      <x:c r="D280" s="36"/>
      <x:c r="E280" s="36"/>
      <x:c r="F280" s="48"/>
      <x:c r="G280" s="36"/>
      <x:c r="H280" t="str">
        <x:f>IF(COUNTA(B280:G280)=0,"",IF(AND(ISNUMBER(B280),C280&lt;&gt;"",D280&lt;&gt;"",E280&lt;&gt;"",ISNUMBER(F280)),"OK","PENDENTE"))</x:f>
      </x:c>
    </x:row>
    <x:row r="281">
      <x:c r="B281" s="50"/>
      <x:c r="C281" s="36"/>
      <x:c r="D281" s="36"/>
      <x:c r="E281" s="36"/>
      <x:c r="F281" s="48"/>
      <x:c r="G281" s="36"/>
      <x:c r="H281" t="str">
        <x:f>IF(COUNTA(B281:G281)=0,"",IF(AND(ISNUMBER(B281),C281&lt;&gt;"",D281&lt;&gt;"",E281&lt;&gt;"",ISNUMBER(F281)),"OK","PENDENTE"))</x:f>
      </x:c>
    </x:row>
    <x:row r="282">
      <x:c r="B282" s="50"/>
      <x:c r="C282" s="36"/>
      <x:c r="D282" s="36"/>
      <x:c r="E282" s="36"/>
      <x:c r="F282" s="48"/>
      <x:c r="G282" s="36"/>
      <x:c r="H282" t="str">
        <x:f>IF(COUNTA(B282:G282)=0,"",IF(AND(ISNUMBER(B282),C282&lt;&gt;"",D282&lt;&gt;"",E282&lt;&gt;"",ISNUMBER(F282)),"OK","PENDENTE"))</x:f>
      </x:c>
    </x:row>
    <x:row r="283">
      <x:c r="B283" s="50"/>
      <x:c r="C283" s="36"/>
      <x:c r="D283" s="36"/>
      <x:c r="E283" s="36"/>
      <x:c r="F283" s="48"/>
      <x:c r="G283" s="36"/>
      <x:c r="H283" t="str">
        <x:f>IF(COUNTA(B283:G283)=0,"",IF(AND(ISNUMBER(B283),C283&lt;&gt;"",D283&lt;&gt;"",E283&lt;&gt;"",ISNUMBER(F283)),"OK","PENDENTE"))</x:f>
      </x:c>
    </x:row>
    <x:row r="284">
      <x:c r="B284" s="50"/>
      <x:c r="C284" s="36"/>
      <x:c r="D284" s="36"/>
      <x:c r="E284" s="36"/>
      <x:c r="F284" s="48"/>
      <x:c r="G284" s="36"/>
      <x:c r="H284" t="str">
        <x:f>IF(COUNTA(B284:G284)=0,"",IF(AND(ISNUMBER(B284),C284&lt;&gt;"",D284&lt;&gt;"",E284&lt;&gt;"",ISNUMBER(F284)),"OK","PENDENTE"))</x:f>
      </x:c>
    </x:row>
    <x:row r="285">
      <x:c r="B285" s="50"/>
      <x:c r="C285" s="36"/>
      <x:c r="D285" s="36"/>
      <x:c r="E285" s="36"/>
      <x:c r="F285" s="48"/>
      <x:c r="G285" s="36"/>
      <x:c r="H285" t="str">
        <x:f>IF(COUNTA(B285:G285)=0,"",IF(AND(ISNUMBER(B285),C285&lt;&gt;"",D285&lt;&gt;"",E285&lt;&gt;"",ISNUMBER(F285)),"OK","PENDENTE"))</x:f>
      </x:c>
    </x:row>
    <x:row r="286">
      <x:c r="B286" s="50"/>
      <x:c r="C286" s="36"/>
      <x:c r="D286" s="36"/>
      <x:c r="E286" s="36"/>
      <x:c r="F286" s="48"/>
      <x:c r="G286" s="36"/>
      <x:c r="H286" t="str">
        <x:f>IF(COUNTA(B286:G286)=0,"",IF(AND(ISNUMBER(B286),C286&lt;&gt;"",D286&lt;&gt;"",E286&lt;&gt;"",ISNUMBER(F286)),"OK","PENDENTE"))</x:f>
      </x:c>
    </x:row>
    <x:row r="287">
      <x:c r="B287" s="50"/>
      <x:c r="C287" s="36"/>
      <x:c r="D287" s="36"/>
      <x:c r="E287" s="36"/>
      <x:c r="F287" s="48"/>
      <x:c r="G287" s="36"/>
      <x:c r="H287" t="str">
        <x:f>IF(COUNTA(B287:G287)=0,"",IF(AND(ISNUMBER(B287),C287&lt;&gt;"",D287&lt;&gt;"",E287&lt;&gt;"",ISNUMBER(F287)),"OK","PENDENTE"))</x:f>
      </x:c>
    </x:row>
    <x:row r="288">
      <x:c r="B288" s="50"/>
      <x:c r="C288" s="36"/>
      <x:c r="D288" s="36"/>
      <x:c r="E288" s="36"/>
      <x:c r="F288" s="48"/>
      <x:c r="G288" s="36"/>
      <x:c r="H288" t="str">
        <x:f>IF(COUNTA(B288:G288)=0,"",IF(AND(ISNUMBER(B288),C288&lt;&gt;"",D288&lt;&gt;"",E288&lt;&gt;"",ISNUMBER(F288)),"OK","PENDENTE"))</x:f>
      </x:c>
    </x:row>
    <x:row r="289">
      <x:c r="B289" s="50"/>
      <x:c r="C289" s="36"/>
      <x:c r="D289" s="36"/>
      <x:c r="E289" s="36"/>
      <x:c r="F289" s="48"/>
      <x:c r="G289" s="36"/>
      <x:c r="H289" t="str">
        <x:f>IF(COUNTA(B289:G289)=0,"",IF(AND(ISNUMBER(B289),C289&lt;&gt;"",D289&lt;&gt;"",E289&lt;&gt;"",ISNUMBER(F289)),"OK","PENDENTE"))</x:f>
      </x:c>
    </x:row>
    <x:row r="290">
      <x:c r="B290" s="50"/>
      <x:c r="C290" s="36"/>
      <x:c r="D290" s="36"/>
      <x:c r="E290" s="36"/>
      <x:c r="F290" s="48"/>
      <x:c r="G290" s="36"/>
      <x:c r="H290" t="str">
        <x:f>IF(COUNTA(B290:G290)=0,"",IF(AND(ISNUMBER(B290),C290&lt;&gt;"",D290&lt;&gt;"",E290&lt;&gt;"",ISNUMBER(F290)),"OK","PENDENTE"))</x:f>
      </x:c>
    </x:row>
    <x:row r="291">
      <x:c r="B291" s="50"/>
      <x:c r="C291" s="36"/>
      <x:c r="D291" s="36"/>
      <x:c r="E291" s="36"/>
      <x:c r="F291" s="48"/>
      <x:c r="G291" s="36"/>
      <x:c r="H291" t="str">
        <x:f>IF(COUNTA(B291:G291)=0,"",IF(AND(ISNUMBER(B291),C291&lt;&gt;"",D291&lt;&gt;"",E291&lt;&gt;"",ISNUMBER(F291)),"OK","PENDENTE"))</x:f>
      </x:c>
    </x:row>
    <x:row r="292">
      <x:c r="B292" s="50"/>
      <x:c r="C292" s="36"/>
      <x:c r="D292" s="36"/>
      <x:c r="E292" s="36"/>
      <x:c r="F292" s="48"/>
      <x:c r="G292" s="36"/>
      <x:c r="H292" t="str">
        <x:f>IF(COUNTA(B292:G292)=0,"",IF(AND(ISNUMBER(B292),C292&lt;&gt;"",D292&lt;&gt;"",E292&lt;&gt;"",ISNUMBER(F292)),"OK","PENDENTE"))</x:f>
      </x:c>
    </x:row>
    <x:row r="293">
      <x:c r="B293" s="50"/>
      <x:c r="C293" s="36"/>
      <x:c r="D293" s="36"/>
      <x:c r="E293" s="36"/>
      <x:c r="F293" s="48"/>
      <x:c r="G293" s="36"/>
      <x:c r="H293" t="str">
        <x:f>IF(COUNTA(B293:G293)=0,"",IF(AND(ISNUMBER(B293),C293&lt;&gt;"",D293&lt;&gt;"",E293&lt;&gt;"",ISNUMBER(F293)),"OK","PENDENTE"))</x:f>
      </x:c>
    </x:row>
    <x:row r="294">
      <x:c r="B294" s="50"/>
      <x:c r="C294" s="36"/>
      <x:c r="D294" s="36"/>
      <x:c r="E294" s="36"/>
      <x:c r="F294" s="48"/>
      <x:c r="G294" s="36"/>
      <x:c r="H294" t="str">
        <x:f>IF(COUNTA(B294:G294)=0,"",IF(AND(ISNUMBER(B294),C294&lt;&gt;"",D294&lt;&gt;"",E294&lt;&gt;"",ISNUMBER(F294)),"OK","PENDENTE"))</x:f>
      </x:c>
    </x:row>
    <x:row r="295">
      <x:c r="B295" s="50"/>
      <x:c r="C295" s="36"/>
      <x:c r="D295" s="36"/>
      <x:c r="E295" s="36"/>
      <x:c r="F295" s="48"/>
      <x:c r="G295" s="36"/>
      <x:c r="H295" t="str">
        <x:f>IF(COUNTA(B295:G295)=0,"",IF(AND(ISNUMBER(B295),C295&lt;&gt;"",D295&lt;&gt;"",E295&lt;&gt;"",ISNUMBER(F295)),"OK","PENDENTE"))</x:f>
      </x:c>
    </x:row>
    <x:row r="296">
      <x:c r="B296" s="50"/>
      <x:c r="C296" s="36"/>
      <x:c r="D296" s="36"/>
      <x:c r="E296" s="36"/>
      <x:c r="F296" s="48"/>
      <x:c r="G296" s="36"/>
      <x:c r="H296" t="str">
        <x:f>IF(COUNTA(B296:G296)=0,"",IF(AND(ISNUMBER(B296),C296&lt;&gt;"",D296&lt;&gt;"",E296&lt;&gt;"",ISNUMBER(F296)),"OK","PENDENTE"))</x:f>
      </x:c>
    </x:row>
    <x:row r="297">
      <x:c r="B297" s="50"/>
      <x:c r="C297" s="36"/>
      <x:c r="D297" s="36"/>
      <x:c r="E297" s="36"/>
      <x:c r="F297" s="48"/>
      <x:c r="G297" s="36"/>
      <x:c r="H297" t="str">
        <x:f>IF(COUNTA(B297:G297)=0,"",IF(AND(ISNUMBER(B297),C297&lt;&gt;"",D297&lt;&gt;"",E297&lt;&gt;"",ISNUMBER(F297)),"OK","PENDENTE"))</x:f>
      </x:c>
    </x:row>
    <x:row r="298">
      <x:c r="B298" s="50"/>
      <x:c r="C298" s="36"/>
      <x:c r="D298" s="36"/>
      <x:c r="E298" s="36"/>
      <x:c r="F298" s="48"/>
      <x:c r="G298" s="36"/>
      <x:c r="H298" t="str">
        <x:f>IF(COUNTA(B298:G298)=0,"",IF(AND(ISNUMBER(B298),C298&lt;&gt;"",D298&lt;&gt;"",E298&lt;&gt;"",ISNUMBER(F298)),"OK","PENDENTE"))</x:f>
      </x:c>
    </x:row>
    <x:row r="299">
      <x:c r="B299" s="50"/>
      <x:c r="C299" s="36"/>
      <x:c r="D299" s="36"/>
      <x:c r="E299" s="36"/>
      <x:c r="F299" s="48"/>
      <x:c r="G299" s="36"/>
      <x:c r="H299" t="str">
        <x:f>IF(COUNTA(B299:G299)=0,"",IF(AND(ISNUMBER(B299),C299&lt;&gt;"",D299&lt;&gt;"",E299&lt;&gt;"",ISNUMBER(F299)),"OK","PENDENTE"))</x:f>
      </x:c>
    </x:row>
    <x:row r="300">
      <x:c r="B300" s="50"/>
      <x:c r="C300" s="36"/>
      <x:c r="D300" s="36"/>
      <x:c r="E300" s="36"/>
      <x:c r="F300" s="48"/>
      <x:c r="G300" s="36"/>
      <x:c r="H300" t="str">
        <x:f>IF(COUNTA(B300:G300)=0,"",IF(AND(ISNUMBER(B300),C300&lt;&gt;"",D300&lt;&gt;"",E300&lt;&gt;"",ISNUMBER(F300)),"OK","PENDENTE"))</x:f>
      </x:c>
    </x:row>
    <x:row r="301">
      <x:c r="B301" s="50"/>
      <x:c r="C301" s="36"/>
      <x:c r="D301" s="36"/>
      <x:c r="E301" s="36"/>
      <x:c r="F301" s="48"/>
      <x:c r="G301" s="36"/>
      <x:c r="H301" t="str">
        <x:f>IF(COUNTA(B301:G301)=0,"",IF(AND(ISNUMBER(B301),C301&lt;&gt;"",D301&lt;&gt;"",E301&lt;&gt;"",ISNUMBER(F301)),"OK","PENDENTE"))</x:f>
      </x:c>
    </x:row>
    <x:row r="302">
      <x:c r="B302" s="50"/>
      <x:c r="C302" s="36"/>
      <x:c r="D302" s="36"/>
      <x:c r="E302" s="36"/>
      <x:c r="F302" s="48"/>
      <x:c r="G302" s="36"/>
      <x:c r="H302" t="str">
        <x:f>IF(COUNTA(B302:G302)=0,"",IF(AND(ISNUMBER(B302),C302&lt;&gt;"",D302&lt;&gt;"",E302&lt;&gt;"",ISNUMBER(F302)),"OK","PENDENTE"))</x:f>
      </x:c>
    </x:row>
    <x:row r="303">
      <x:c r="B303" s="50"/>
      <x:c r="C303" s="36"/>
      <x:c r="D303" s="36"/>
      <x:c r="E303" s="36"/>
      <x:c r="F303" s="48"/>
      <x:c r="G303" s="36"/>
      <x:c r="H303" t="str">
        <x:f>IF(COUNTA(B303:G303)=0,"",IF(AND(ISNUMBER(B303),C303&lt;&gt;"",D303&lt;&gt;"",E303&lt;&gt;"",ISNUMBER(F303)),"OK","PENDENTE"))</x:f>
      </x:c>
    </x:row>
    <x:row r="304">
      <x:c r="B304" s="50"/>
      <x:c r="C304" s="36"/>
      <x:c r="D304" s="36"/>
      <x:c r="E304" s="36"/>
      <x:c r="F304" s="48"/>
      <x:c r="G304" s="36"/>
      <x:c r="H304" t="str">
        <x:f>IF(COUNTA(B304:G304)=0,"",IF(AND(ISNUMBER(B304),C304&lt;&gt;"",D304&lt;&gt;"",E304&lt;&gt;"",ISNUMBER(F304)),"OK","PENDENTE"))</x:f>
      </x:c>
    </x:row>
    <x:row r="305">
      <x:c r="B305" s="50"/>
      <x:c r="C305" s="36"/>
      <x:c r="D305" s="36"/>
      <x:c r="E305" s="36"/>
      <x:c r="F305" s="48"/>
      <x:c r="G305" s="36"/>
      <x:c r="H305" t="str">
        <x:f>IF(COUNTA(B305:G305)=0,"",IF(AND(ISNUMBER(B305),C305&lt;&gt;"",D305&lt;&gt;"",E305&lt;&gt;"",ISNUMBER(F305)),"OK","PENDENTE"))</x:f>
      </x:c>
    </x:row>
    <x:row r="306">
      <x:c r="B306" s="50"/>
      <x:c r="C306" s="36"/>
      <x:c r="D306" s="36"/>
      <x:c r="E306" s="36"/>
      <x:c r="F306" s="48"/>
      <x:c r="G306" s="36"/>
      <x:c r="H306" t="str">
        <x:f>IF(COUNTA(B306:G306)=0,"",IF(AND(ISNUMBER(B306),C306&lt;&gt;"",D306&lt;&gt;"",E306&lt;&gt;"",ISNUMBER(F306)),"OK","PENDENTE"))</x:f>
      </x:c>
    </x:row>
  </x:sheetData>
  <x:mergeCells>
    <x:mergeCell ref="B2:J3"/>
    <x:mergeCell ref="B5:J5"/>
  </x:mergeCells>
  <x:conditionalFormatting sqref="H7:H306">
    <x:cfRule type="expression" dxfId="2" priority="1">
      <x:formula>H7="PENDENTE"</x:formula>
    </x:cfRule>
  </x:conditionalFormatting>
  <x:dataValidations count="3">
    <x:dataValidation type="list" sqref="D7:D306">
      <x:formula1>"Receita,Despesa"</x:formula1>
    </x:dataValidation>
    <x:dataValidation type="list" sqref="E7:E306">
      <x:formula1>LISTAS!$C$3:$C$16</x:formula1>
    </x:dataValidation>
    <x:dataValidation type="decimal" sqref="F7:F306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1" hidden="0" customWidth="1"/>
    <x:col min="3" max="3" width="30" hidden="0" customWidth="1"/>
    <x:col min="4" max="4" width="17" hidden="0" customWidth="1"/>
    <x:col min="5" max="5" width="39" hidden="0" customWidth="1"/>
    <x:col min="6" max="6" width="18" hidden="0" customWidth="1"/>
    <x:col min="7" max="7" width="36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04  |  Checklist de comprovantes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>
      <x:c r="B5" t="str">
        <x:v>Controle de documentos, sem armazenar arquivos pessoais dentro da planilha.</x:v>
      </x:c>
    </x:row>
    <x:row r="6" ht="29" customHeight="1">
      <x:c r="B6" s="32" t="str">
        <x:v>DOCUMENTO</x:v>
      </x:c>
      <x:c r="C6" s="32" t="str">
        <x:v>REFERÊNCIA / INSTITUIÇÃO</x:v>
      </x:c>
      <x:c r="D6" s="32" t="str">
        <x:v>ANO</x:v>
      </x:c>
      <x:c r="E6" s="32" t="str">
        <x:v>LOCAL / NOME DO ARQUIVO</x:v>
      </x:c>
      <x:c r="F6" s="32" t="str">
        <x:v>STATUS</x:v>
      </x:c>
      <x:c r="G6" s="32" t="str">
        <x:v>OBSERVAÇÕES</x:v>
      </x:c>
    </x:row>
    <x:row r="7" ht="23" customHeight="1">
      <x:c r="B7" s="36"/>
      <x:c r="C7" s="36"/>
      <x:c r="D7" s="36"/>
      <x:c r="E7" s="36"/>
      <x:c r="F7" s="36"/>
      <x:c r="G7" s="36"/>
    </x:row>
    <x:row r="8" ht="23" customHeight="1">
      <x:c r="B8" s="36"/>
      <x:c r="C8" s="36"/>
      <x:c r="D8" s="36"/>
      <x:c r="E8" s="36"/>
      <x:c r="F8" s="36"/>
      <x:c r="G8" s="36"/>
    </x:row>
    <x:row r="9" ht="23" customHeight="1">
      <x:c r="B9" s="36"/>
      <x:c r="C9" s="36"/>
      <x:c r="D9" s="36"/>
      <x:c r="E9" s="36"/>
      <x:c r="F9" s="36"/>
      <x:c r="G9" s="36"/>
    </x:row>
    <x:row r="10" ht="23" customHeight="1">
      <x:c r="B10" s="36"/>
      <x:c r="C10" s="36"/>
      <x:c r="D10" s="36"/>
      <x:c r="E10" s="36"/>
      <x:c r="F10" s="36"/>
      <x:c r="G10" s="36"/>
    </x:row>
    <x:row r="11" ht="23" customHeight="1">
      <x:c r="B11" s="36"/>
      <x:c r="C11" s="36"/>
      <x:c r="D11" s="36"/>
      <x:c r="E11" s="36"/>
      <x:c r="F11" s="36"/>
      <x:c r="G11" s="36"/>
    </x:row>
    <x:row r="12" ht="23" customHeight="1">
      <x:c r="B12" s="36"/>
      <x:c r="C12" s="36"/>
      <x:c r="D12" s="36"/>
      <x:c r="E12" s="36"/>
      <x:c r="F12" s="36"/>
      <x:c r="G12" s="36"/>
    </x:row>
    <x:row r="13" ht="23" customHeight="1">
      <x:c r="B13" s="36"/>
      <x:c r="C13" s="36"/>
      <x:c r="D13" s="36"/>
      <x:c r="E13" s="36"/>
      <x:c r="F13" s="36"/>
      <x:c r="G13" s="36"/>
    </x:row>
    <x:row r="14" ht="23" customHeight="1">
      <x:c r="B14" s="36"/>
      <x:c r="C14" s="36"/>
      <x:c r="D14" s="36"/>
      <x:c r="E14" s="36"/>
      <x:c r="F14" s="36"/>
      <x:c r="G14" s="36"/>
    </x:row>
    <x:row r="15" ht="23" customHeight="1">
      <x:c r="B15" s="36"/>
      <x:c r="C15" s="36"/>
      <x:c r="D15" s="36"/>
      <x:c r="E15" s="36"/>
      <x:c r="F15" s="36"/>
      <x:c r="G15" s="36"/>
    </x:row>
    <x:row r="16" ht="23" customHeight="1">
      <x:c r="B16" s="36"/>
      <x:c r="C16" s="36"/>
      <x:c r="D16" s="36"/>
      <x:c r="E16" s="36"/>
      <x:c r="F16" s="36"/>
      <x:c r="G16" s="36"/>
    </x:row>
    <x:row r="17" ht="23" customHeight="1">
      <x:c r="B17" s="36"/>
      <x:c r="C17" s="36"/>
      <x:c r="D17" s="36"/>
      <x:c r="E17" s="36"/>
      <x:c r="F17" s="36"/>
      <x:c r="G17" s="36"/>
    </x:row>
    <x:row r="18" ht="23" customHeight="1">
      <x:c r="B18" s="36"/>
      <x:c r="C18" s="36"/>
      <x:c r="D18" s="36"/>
      <x:c r="E18" s="36"/>
      <x:c r="F18" s="36"/>
      <x:c r="G18" s="36"/>
    </x:row>
    <x:row r="19" ht="23" customHeight="1">
      <x:c r="B19" s="36"/>
      <x:c r="C19" s="36"/>
      <x:c r="D19" s="36"/>
      <x:c r="E19" s="36"/>
      <x:c r="F19" s="36"/>
      <x:c r="G19" s="36"/>
    </x:row>
    <x:row r="20" ht="23" customHeight="1">
      <x:c r="B20" s="36"/>
      <x:c r="C20" s="36"/>
      <x:c r="D20" s="36"/>
      <x:c r="E20" s="36"/>
      <x:c r="F20" s="36"/>
      <x:c r="G20" s="36"/>
    </x:row>
    <x:row r="21" ht="23" customHeight="1">
      <x:c r="B21" s="36"/>
      <x:c r="C21" s="36"/>
      <x:c r="D21" s="36"/>
      <x:c r="E21" s="36"/>
      <x:c r="F21" s="36"/>
      <x:c r="G21" s="36"/>
    </x:row>
    <x:row r="22" ht="23" customHeight="1">
      <x:c r="B22" s="36"/>
      <x:c r="C22" s="36"/>
      <x:c r="D22" s="36"/>
      <x:c r="E22" s="36"/>
      <x:c r="F22" s="36"/>
      <x:c r="G22" s="36"/>
    </x:row>
    <x:row r="23" ht="23" customHeight="1">
      <x:c r="B23" s="36"/>
      <x:c r="C23" s="36"/>
      <x:c r="D23" s="36"/>
      <x:c r="E23" s="36"/>
      <x:c r="F23" s="36"/>
      <x:c r="G23" s="36"/>
    </x:row>
    <x:row r="24" ht="23" customHeight="1">
      <x:c r="B24" s="36"/>
      <x:c r="C24" s="36"/>
      <x:c r="D24" s="36"/>
      <x:c r="E24" s="36"/>
      <x:c r="F24" s="36"/>
      <x:c r="G24" s="36"/>
    </x:row>
    <x:row r="25" ht="23" customHeight="1">
      <x:c r="B25" s="36"/>
      <x:c r="C25" s="36"/>
      <x:c r="D25" s="36"/>
      <x:c r="E25" s="36"/>
      <x:c r="F25" s="36"/>
      <x:c r="G25" s="36"/>
    </x:row>
    <x:row r="26" ht="23" customHeight="1">
      <x:c r="B26" s="36"/>
      <x:c r="C26" s="36"/>
      <x:c r="D26" s="36"/>
      <x:c r="E26" s="36"/>
      <x:c r="F26" s="36"/>
      <x:c r="G26" s="36"/>
    </x:row>
    <x:row r="27" ht="23" customHeight="1">
      <x:c r="B27" s="36"/>
      <x:c r="C27" s="36"/>
      <x:c r="D27" s="36"/>
      <x:c r="E27" s="36"/>
      <x:c r="F27" s="36"/>
      <x:c r="G27" s="36"/>
    </x:row>
    <x:row r="28" ht="23" customHeight="1">
      <x:c r="B28" s="36"/>
      <x:c r="C28" s="36"/>
      <x:c r="D28" s="36"/>
      <x:c r="E28" s="36"/>
      <x:c r="F28" s="36"/>
      <x:c r="G28" s="36"/>
    </x:row>
    <x:row r="29" ht="23" customHeight="1">
      <x:c r="B29" s="36"/>
      <x:c r="C29" s="36"/>
      <x:c r="D29" s="36"/>
      <x:c r="E29" s="36"/>
      <x:c r="F29" s="36"/>
      <x:c r="G29" s="36"/>
    </x:row>
    <x:row r="30" ht="23" customHeight="1">
      <x:c r="B30" s="36"/>
      <x:c r="C30" s="36"/>
      <x:c r="D30" s="36"/>
      <x:c r="E30" s="36"/>
      <x:c r="F30" s="36"/>
      <x:c r="G30" s="36"/>
    </x:row>
    <x:row r="31" ht="23" customHeight="1">
      <x:c r="B31" s="36"/>
      <x:c r="C31" s="36"/>
      <x:c r="D31" s="36"/>
      <x:c r="E31" s="36"/>
      <x:c r="F31" s="36"/>
      <x:c r="G31" s="36"/>
    </x:row>
    <x:row r="32" ht="23" customHeight="1">
      <x:c r="B32" s="36"/>
      <x:c r="C32" s="36"/>
      <x:c r="D32" s="36"/>
      <x:c r="E32" s="36"/>
      <x:c r="F32" s="36"/>
      <x:c r="G32" s="36"/>
    </x:row>
    <x:row r="33" ht="23" customHeight="1">
      <x:c r="B33" s="36"/>
      <x:c r="C33" s="36"/>
      <x:c r="D33" s="36"/>
      <x:c r="E33" s="36"/>
      <x:c r="F33" s="36"/>
      <x:c r="G33" s="36"/>
    </x:row>
    <x:row r="34" ht="23" customHeight="1">
      <x:c r="B34" s="36"/>
      <x:c r="C34" s="36"/>
      <x:c r="D34" s="36"/>
      <x:c r="E34" s="36"/>
      <x:c r="F34" s="36"/>
      <x:c r="G34" s="36"/>
    </x:row>
    <x:row r="35" ht="23" customHeight="1">
      <x:c r="B35" s="36"/>
      <x:c r="C35" s="36"/>
      <x:c r="D35" s="36"/>
      <x:c r="E35" s="36"/>
      <x:c r="F35" s="36"/>
      <x:c r="G35" s="36"/>
    </x:row>
    <x:row r="36" ht="23" customHeight="1">
      <x:c r="B36" s="36"/>
      <x:c r="C36" s="36"/>
      <x:c r="D36" s="36"/>
      <x:c r="E36" s="36"/>
      <x:c r="F36" s="36"/>
      <x:c r="G36" s="36"/>
    </x:row>
    <x:row r="37" ht="23" customHeight="1">
      <x:c r="B37" s="36"/>
      <x:c r="C37" s="36"/>
      <x:c r="D37" s="36"/>
      <x:c r="E37" s="36"/>
      <x:c r="F37" s="36"/>
      <x:c r="G37" s="36"/>
    </x:row>
    <x:row r="38" ht="23" customHeight="1">
      <x:c r="B38" s="36"/>
      <x:c r="C38" s="36"/>
      <x:c r="D38" s="36"/>
      <x:c r="E38" s="36"/>
      <x:c r="F38" s="36"/>
      <x:c r="G38" s="36"/>
    </x:row>
    <x:row r="39" ht="23" customHeight="1">
      <x:c r="B39" s="36"/>
      <x:c r="C39" s="36"/>
      <x:c r="D39" s="36"/>
      <x:c r="E39" s="36"/>
      <x:c r="F39" s="36"/>
      <x:c r="G39" s="36"/>
    </x:row>
    <x:row r="40" ht="23" customHeight="1">
      <x:c r="B40" s="36"/>
      <x:c r="C40" s="36"/>
      <x:c r="D40" s="36"/>
      <x:c r="E40" s="36"/>
      <x:c r="F40" s="36"/>
      <x:c r="G40" s="36"/>
    </x:row>
    <x:row r="41" ht="23" customHeight="1">
      <x:c r="B41" s="36"/>
      <x:c r="C41" s="36"/>
      <x:c r="D41" s="36"/>
      <x:c r="E41" s="36"/>
      <x:c r="F41" s="36"/>
      <x:c r="G41" s="36"/>
    </x:row>
    <x:row r="42" ht="23" customHeight="1">
      <x:c r="B42" s="36"/>
      <x:c r="C42" s="36"/>
      <x:c r="D42" s="36"/>
      <x:c r="E42" s="36"/>
      <x:c r="F42" s="36"/>
      <x:c r="G42" s="36"/>
    </x:row>
    <x:row r="43" ht="23" customHeight="1">
      <x:c r="B43" s="36"/>
      <x:c r="C43" s="36"/>
      <x:c r="D43" s="36"/>
      <x:c r="E43" s="36"/>
      <x:c r="F43" s="36"/>
      <x:c r="G43" s="36"/>
    </x:row>
    <x:row r="44" ht="23" customHeight="1">
      <x:c r="B44" s="36"/>
      <x:c r="C44" s="36"/>
      <x:c r="D44" s="36"/>
      <x:c r="E44" s="36"/>
      <x:c r="F44" s="36"/>
      <x:c r="G44" s="36"/>
    </x:row>
    <x:row r="45" ht="23" customHeight="1">
      <x:c r="B45" s="36"/>
      <x:c r="C45" s="36"/>
      <x:c r="D45" s="36"/>
      <x:c r="E45" s="36"/>
      <x:c r="F45" s="36"/>
      <x:c r="G45" s="36"/>
    </x:row>
    <x:row r="46" ht="23" customHeight="1">
      <x:c r="B46" s="36"/>
      <x:c r="C46" s="36"/>
      <x:c r="D46" s="36"/>
      <x:c r="E46" s="36"/>
      <x:c r="F46" s="36"/>
      <x:c r="G46" s="36"/>
    </x:row>
    <x:row r="47" ht="23" customHeight="1">
      <x:c r="B47" s="36"/>
      <x:c r="C47" s="36"/>
      <x:c r="D47" s="36"/>
      <x:c r="E47" s="36"/>
      <x:c r="F47" s="36"/>
      <x:c r="G47" s="36"/>
    </x:row>
    <x:row r="48" ht="23" customHeight="1">
      <x:c r="B48" s="36"/>
      <x:c r="C48" s="36"/>
      <x:c r="D48" s="36"/>
      <x:c r="E48" s="36"/>
      <x:c r="F48" s="36"/>
      <x:c r="G48" s="36"/>
    </x:row>
    <x:row r="49" ht="23" customHeight="1">
      <x:c r="B49" s="36"/>
      <x:c r="C49" s="36"/>
      <x:c r="D49" s="36"/>
      <x:c r="E49" s="36"/>
      <x:c r="F49" s="36"/>
      <x:c r="G49" s="36"/>
    </x:row>
    <x:row r="50" ht="23" customHeight="1">
      <x:c r="B50" s="36"/>
      <x:c r="C50" s="36"/>
      <x:c r="D50" s="36"/>
      <x:c r="E50" s="36"/>
      <x:c r="F50" s="36"/>
      <x:c r="G50" s="36"/>
    </x:row>
    <x:row r="51" ht="23" customHeight="1">
      <x:c r="B51" s="36"/>
      <x:c r="C51" s="36"/>
      <x:c r="D51" s="36"/>
      <x:c r="E51" s="36"/>
      <x:c r="F51" s="36"/>
      <x:c r="G51" s="36"/>
    </x:row>
    <x:row r="52" ht="23" customHeight="1">
      <x:c r="B52" s="36"/>
      <x:c r="C52" s="36"/>
      <x:c r="D52" s="36"/>
      <x:c r="E52" s="36"/>
      <x:c r="F52" s="36"/>
      <x:c r="G52" s="36"/>
    </x:row>
    <x:row r="53" ht="23" customHeight="1">
      <x:c r="B53" s="36"/>
      <x:c r="C53" s="36"/>
      <x:c r="D53" s="36"/>
      <x:c r="E53" s="36"/>
      <x:c r="F53" s="36"/>
      <x:c r="G53" s="36"/>
    </x:row>
    <x:row r="54" ht="23" customHeight="1">
      <x:c r="B54" s="36"/>
      <x:c r="C54" s="36"/>
      <x:c r="D54" s="36"/>
      <x:c r="E54" s="36"/>
      <x:c r="F54" s="36"/>
      <x:c r="G54" s="36"/>
    </x:row>
    <x:row r="55" ht="23" customHeight="1">
      <x:c r="B55" s="36"/>
      <x:c r="C55" s="36"/>
      <x:c r="D55" s="36"/>
      <x:c r="E55" s="36"/>
      <x:c r="F55" s="36"/>
      <x:c r="G55" s="36"/>
    </x:row>
    <x:row r="56" ht="23" customHeight="1">
      <x:c r="B56" s="36"/>
      <x:c r="C56" s="36"/>
      <x:c r="D56" s="36"/>
      <x:c r="E56" s="36"/>
      <x:c r="F56" s="36"/>
      <x:c r="G56" s="36"/>
    </x:row>
    <x:row r="57" ht="23" customHeight="1">
      <x:c r="B57" s="36"/>
      <x:c r="C57" s="36"/>
      <x:c r="D57" s="36"/>
      <x:c r="E57" s="36"/>
      <x:c r="F57" s="36"/>
      <x:c r="G57" s="36"/>
    </x:row>
    <x:row r="58" ht="23" customHeight="1">
      <x:c r="B58" s="36"/>
      <x:c r="C58" s="36"/>
      <x:c r="D58" s="36"/>
      <x:c r="E58" s="36"/>
      <x:c r="F58" s="36"/>
      <x:c r="G58" s="36"/>
    </x:row>
    <x:row r="59" ht="23" customHeight="1">
      <x:c r="B59" s="36"/>
      <x:c r="C59" s="36"/>
      <x:c r="D59" s="36"/>
      <x:c r="E59" s="36"/>
      <x:c r="F59" s="36"/>
      <x:c r="G59" s="36"/>
    </x:row>
    <x:row r="60" ht="23" customHeight="1">
      <x:c r="B60" s="36"/>
      <x:c r="C60" s="36"/>
      <x:c r="D60" s="36"/>
      <x:c r="E60" s="36"/>
      <x:c r="F60" s="36"/>
      <x:c r="G60" s="36"/>
    </x:row>
    <x:row r="61">
      <x:c r="B61" s="36"/>
      <x:c r="C61" s="36"/>
      <x:c r="D61" s="36"/>
      <x:c r="E61" s="36"/>
      <x:c r="F61" s="36"/>
      <x:c r="G61" s="36"/>
    </x:row>
    <x:row r="62">
      <x:c r="B62" s="36"/>
      <x:c r="C62" s="36"/>
      <x:c r="D62" s="36"/>
      <x:c r="E62" s="36"/>
      <x:c r="F62" s="36"/>
      <x:c r="G62" s="36"/>
    </x:row>
    <x:row r="63">
      <x:c r="B63" s="36"/>
      <x:c r="C63" s="36"/>
      <x:c r="D63" s="36"/>
      <x:c r="E63" s="36"/>
      <x:c r="F63" s="36"/>
      <x:c r="G63" s="36"/>
    </x:row>
    <x:row r="64">
      <x:c r="B64" s="36"/>
      <x:c r="C64" s="36"/>
      <x:c r="D64" s="36"/>
      <x:c r="E64" s="36"/>
      <x:c r="F64" s="36"/>
      <x:c r="G64" s="36"/>
    </x:row>
    <x:row r="65">
      <x:c r="B65" s="36"/>
      <x:c r="C65" s="36"/>
      <x:c r="D65" s="36"/>
      <x:c r="E65" s="36"/>
      <x:c r="F65" s="36"/>
      <x:c r="G65" s="36"/>
    </x:row>
    <x:row r="66">
      <x:c r="B66" s="36"/>
      <x:c r="C66" s="36"/>
      <x:c r="D66" s="36"/>
      <x:c r="E66" s="36"/>
      <x:c r="F66" s="36"/>
      <x:c r="G66" s="36"/>
    </x:row>
    <x:row r="67">
      <x:c r="B67" s="36"/>
      <x:c r="C67" s="36"/>
      <x:c r="D67" s="36"/>
      <x:c r="E67" s="36"/>
      <x:c r="F67" s="36"/>
      <x:c r="G67" s="36"/>
    </x:row>
    <x:row r="68">
      <x:c r="B68" s="36"/>
      <x:c r="C68" s="36"/>
      <x:c r="D68" s="36"/>
      <x:c r="E68" s="36"/>
      <x:c r="F68" s="36"/>
      <x:c r="G68" s="36"/>
    </x:row>
    <x:row r="69">
      <x:c r="B69" s="36"/>
      <x:c r="C69" s="36"/>
      <x:c r="D69" s="36"/>
      <x:c r="E69" s="36"/>
      <x:c r="F69" s="36"/>
      <x:c r="G69" s="36"/>
    </x:row>
    <x:row r="70">
      <x:c r="B70" s="36"/>
      <x:c r="C70" s="36"/>
      <x:c r="D70" s="36"/>
      <x:c r="E70" s="36"/>
      <x:c r="F70" s="36"/>
      <x:c r="G70" s="36"/>
    </x:row>
    <x:row r="71">
      <x:c r="B71" s="36"/>
      <x:c r="C71" s="36"/>
      <x:c r="D71" s="36"/>
      <x:c r="E71" s="36"/>
      <x:c r="F71" s="36"/>
      <x:c r="G71" s="36"/>
    </x:row>
    <x:row r="72">
      <x:c r="B72" s="36"/>
      <x:c r="C72" s="36"/>
      <x:c r="D72" s="36"/>
      <x:c r="E72" s="36"/>
      <x:c r="F72" s="36"/>
      <x:c r="G72" s="36"/>
    </x:row>
    <x:row r="73">
      <x:c r="B73" s="36"/>
      <x:c r="C73" s="36"/>
      <x:c r="D73" s="36"/>
      <x:c r="E73" s="36"/>
      <x:c r="F73" s="36"/>
      <x:c r="G73" s="36"/>
    </x:row>
    <x:row r="74">
      <x:c r="B74" s="36"/>
      <x:c r="C74" s="36"/>
      <x:c r="D74" s="36"/>
      <x:c r="E74" s="36"/>
      <x:c r="F74" s="36"/>
      <x:c r="G74" s="36"/>
    </x:row>
    <x:row r="75">
      <x:c r="B75" s="36"/>
      <x:c r="C75" s="36"/>
      <x:c r="D75" s="36"/>
      <x:c r="E75" s="36"/>
      <x:c r="F75" s="36"/>
      <x:c r="G75" s="36"/>
    </x:row>
    <x:row r="76">
      <x:c r="B76" s="36"/>
      <x:c r="C76" s="36"/>
      <x:c r="D76" s="36"/>
      <x:c r="E76" s="36"/>
      <x:c r="F76" s="36"/>
      <x:c r="G76" s="36"/>
    </x:row>
    <x:row r="77">
      <x:c r="B77" s="36"/>
      <x:c r="C77" s="36"/>
      <x:c r="D77" s="36"/>
      <x:c r="E77" s="36"/>
      <x:c r="F77" s="36"/>
      <x:c r="G77" s="36"/>
    </x:row>
    <x:row r="78">
      <x:c r="B78" s="36"/>
      <x:c r="C78" s="36"/>
      <x:c r="D78" s="36"/>
      <x:c r="E78" s="36"/>
      <x:c r="F78" s="36"/>
      <x:c r="G78" s="36"/>
    </x:row>
    <x:row r="79">
      <x:c r="B79" s="36"/>
      <x:c r="C79" s="36"/>
      <x:c r="D79" s="36"/>
      <x:c r="E79" s="36"/>
      <x:c r="F79" s="36"/>
      <x:c r="G79" s="36"/>
    </x:row>
    <x:row r="80">
      <x:c r="B80" s="36"/>
      <x:c r="C80" s="36"/>
      <x:c r="D80" s="36"/>
      <x:c r="E80" s="36"/>
      <x:c r="F80" s="36"/>
      <x:c r="G80" s="36"/>
    </x:row>
    <x:row r="81">
      <x:c r="B81" s="36"/>
      <x:c r="C81" s="36"/>
      <x:c r="D81" s="36"/>
      <x:c r="E81" s="36"/>
      <x:c r="F81" s="36"/>
      <x:c r="G81" s="36"/>
    </x:row>
    <x:row r="82">
      <x:c r="B82" s="36"/>
      <x:c r="C82" s="36"/>
      <x:c r="D82" s="36"/>
      <x:c r="E82" s="36"/>
      <x:c r="F82" s="36"/>
      <x:c r="G82" s="36"/>
    </x:row>
    <x:row r="83">
      <x:c r="B83" s="36"/>
      <x:c r="C83" s="36"/>
      <x:c r="D83" s="36"/>
      <x:c r="E83" s="36"/>
      <x:c r="F83" s="36"/>
      <x:c r="G83" s="36"/>
    </x:row>
    <x:row r="84">
      <x:c r="B84" s="36"/>
      <x:c r="C84" s="36"/>
      <x:c r="D84" s="36"/>
      <x:c r="E84" s="36"/>
      <x:c r="F84" s="36"/>
      <x:c r="G84" s="36"/>
    </x:row>
    <x:row r="85">
      <x:c r="B85" s="36"/>
      <x:c r="C85" s="36"/>
      <x:c r="D85" s="36"/>
      <x:c r="E85" s="36"/>
      <x:c r="F85" s="36"/>
      <x:c r="G85" s="36"/>
    </x:row>
    <x:row r="86">
      <x:c r="B86" s="36"/>
      <x:c r="C86" s="36"/>
      <x:c r="D86" s="36"/>
      <x:c r="E86" s="36"/>
      <x:c r="F86" s="36"/>
      <x:c r="G86" s="36"/>
    </x:row>
    <x:row r="87">
      <x:c r="B87" s="36"/>
      <x:c r="C87" s="36"/>
      <x:c r="D87" s="36"/>
      <x:c r="E87" s="36"/>
      <x:c r="F87" s="36"/>
      <x:c r="G87" s="36"/>
    </x:row>
    <x:row r="88">
      <x:c r="B88" s="36"/>
      <x:c r="C88" s="36"/>
      <x:c r="D88" s="36"/>
      <x:c r="E88" s="36"/>
      <x:c r="F88" s="36"/>
      <x:c r="G88" s="36"/>
    </x:row>
    <x:row r="89">
      <x:c r="B89" s="36"/>
      <x:c r="C89" s="36"/>
      <x:c r="D89" s="36"/>
      <x:c r="E89" s="36"/>
      <x:c r="F89" s="36"/>
      <x:c r="G89" s="36"/>
    </x:row>
    <x:row r="90">
      <x:c r="B90" s="36"/>
      <x:c r="C90" s="36"/>
      <x:c r="D90" s="36"/>
      <x:c r="E90" s="36"/>
      <x:c r="F90" s="36"/>
      <x:c r="G90" s="36"/>
    </x:row>
    <x:row r="91">
      <x:c r="B91" s="36"/>
      <x:c r="C91" s="36"/>
      <x:c r="D91" s="36"/>
      <x:c r="E91" s="36"/>
      <x:c r="F91" s="36"/>
      <x:c r="G91" s="36"/>
    </x:row>
    <x:row r="92">
      <x:c r="B92" s="36"/>
      <x:c r="C92" s="36"/>
      <x:c r="D92" s="36"/>
      <x:c r="E92" s="36"/>
      <x:c r="F92" s="36"/>
      <x:c r="G92" s="36"/>
    </x:row>
    <x:row r="93">
      <x:c r="B93" s="36"/>
      <x:c r="C93" s="36"/>
      <x:c r="D93" s="36"/>
      <x:c r="E93" s="36"/>
      <x:c r="F93" s="36"/>
      <x:c r="G93" s="36"/>
    </x:row>
    <x:row r="94">
      <x:c r="B94" s="36"/>
      <x:c r="C94" s="36"/>
      <x:c r="D94" s="36"/>
      <x:c r="E94" s="36"/>
      <x:c r="F94" s="36"/>
      <x:c r="G94" s="36"/>
    </x:row>
    <x:row r="95">
      <x:c r="B95" s="36"/>
      <x:c r="C95" s="36"/>
      <x:c r="D95" s="36"/>
      <x:c r="E95" s="36"/>
      <x:c r="F95" s="36"/>
      <x:c r="G95" s="36"/>
    </x:row>
    <x:row r="96">
      <x:c r="B96" s="36"/>
      <x:c r="C96" s="36"/>
      <x:c r="D96" s="36"/>
      <x:c r="E96" s="36"/>
      <x:c r="F96" s="36"/>
      <x:c r="G96" s="36"/>
    </x:row>
    <x:row r="97">
      <x:c r="B97" s="36"/>
      <x:c r="C97" s="36"/>
      <x:c r="D97" s="36"/>
      <x:c r="E97" s="36"/>
      <x:c r="F97" s="36"/>
      <x:c r="G97" s="36"/>
    </x:row>
    <x:row r="98">
      <x:c r="B98" s="36"/>
      <x:c r="C98" s="36"/>
      <x:c r="D98" s="36"/>
      <x:c r="E98" s="36"/>
      <x:c r="F98" s="36"/>
      <x:c r="G98" s="36"/>
    </x:row>
    <x:row r="99">
      <x:c r="B99" s="36"/>
      <x:c r="C99" s="36"/>
      <x:c r="D99" s="36"/>
      <x:c r="E99" s="36"/>
      <x:c r="F99" s="36"/>
      <x:c r="G99" s="36"/>
    </x:row>
    <x:row r="100">
      <x:c r="B100" s="36"/>
      <x:c r="C100" s="36"/>
      <x:c r="D100" s="36"/>
      <x:c r="E100" s="36"/>
      <x:c r="F100" s="36"/>
      <x:c r="G100" s="36"/>
    </x:row>
    <x:row r="101">
      <x:c r="B101" s="36"/>
      <x:c r="C101" s="36"/>
      <x:c r="D101" s="36"/>
      <x:c r="E101" s="36"/>
      <x:c r="F101" s="36"/>
      <x:c r="G101" s="36"/>
    </x:row>
    <x:row r="102">
      <x:c r="B102" s="36"/>
      <x:c r="C102" s="36"/>
      <x:c r="D102" s="36"/>
      <x:c r="E102" s="36"/>
      <x:c r="F102" s="36"/>
      <x:c r="G102" s="36"/>
    </x:row>
    <x:row r="103">
      <x:c r="B103" s="36"/>
      <x:c r="C103" s="36"/>
      <x:c r="D103" s="36"/>
      <x:c r="E103" s="36"/>
      <x:c r="F103" s="36"/>
      <x:c r="G103" s="36"/>
    </x:row>
    <x:row r="104">
      <x:c r="B104" s="36"/>
      <x:c r="C104" s="36"/>
      <x:c r="D104" s="36"/>
      <x:c r="E104" s="36"/>
      <x:c r="F104" s="36"/>
      <x:c r="G104" s="36"/>
    </x:row>
    <x:row r="105">
      <x:c r="B105" s="36"/>
      <x:c r="C105" s="36"/>
      <x:c r="D105" s="36"/>
      <x:c r="E105" s="36"/>
      <x:c r="F105" s="36"/>
      <x:c r="G105" s="36"/>
    </x:row>
    <x:row r="106">
      <x:c r="B106" s="36"/>
      <x:c r="C106" s="36"/>
      <x:c r="D106" s="36"/>
      <x:c r="E106" s="36"/>
      <x:c r="F106" s="36"/>
      <x:c r="G106" s="36"/>
    </x:row>
  </x:sheetData>
  <x:mergeCells>
    <x:mergeCell ref="B2:J3"/>
    <x:mergeCell ref="B5:J5"/>
  </x:mergeCells>
  <x:conditionalFormatting sqref="F7:F106">
    <x:cfRule type="expression" dxfId="3" priority="1">
      <x:formula>F7="Pendente"</x:formula>
    </x:cfRule>
    <x:cfRule type="expression" dxfId="4" priority="2">
      <x:formula>F7="Recebido"</x:formula>
    </x:cfRule>
  </x:conditionalFormatting>
  <x:dataValidations count="3">
    <x:dataValidation type="list" sqref="B7:B106">
      <x:formula1>LISTAS!$D$3:$D$13</x:formula1>
    </x:dataValidation>
    <x:dataValidation type="list" sqref="F7:F106">
      <x:formula1>"Pendente,Recebido,Não aplicável"</x:formula1>
    </x:dataValidation>
    <x:dataValidation type="whole" operator="between" sqref="D7:D106">
      <x:formula1>2000</x:formula1>
      <x:formula2>2100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2" hidden="0" customWidth="1"/>
    <x:col min="3" max="3" width="22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05  |  Consolidação por categoria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/>
    <x:row r="6" ht="23" customHeight="1">
      <x:c r="B6" t="str">
        <x:v>ANO-CALENDÁRIO</x:v>
      </x:c>
      <x:c r="D6" t="n">
        <x:f>PAINEL!C6</x:f>
        <x:v>2025</x:v>
      </x:c>
    </x:row>
    <x:row r="7" ht="23" customHeight="1"/>
    <x:row r="8" ht="26" customHeight="1">
      <x:c r="B8" s="21" t="str">
        <x:v>LANÇAMENTOS POR CATEGORIA</x:v>
      </x:c>
      <x:c r="C8" s="21"/>
      <x:c r="D8" s="21"/>
      <x:c r="E8" s="21"/>
    </x:row>
    <x:row r="9" ht="29" customHeight="1">
      <x:c r="B9" s="32" t="str">
        <x:v>CATEGORIA</x:v>
      </x:c>
      <x:c r="C9" s="32" t="str">
        <x:v>RECEITAS</x:v>
      </x:c>
      <x:c r="D9" s="32" t="str">
        <x:v>DESPESAS</x:v>
      </x:c>
    </x:row>
    <x:row r="10" ht="23" customHeight="1">
      <x:c r="B10" t="str">
        <x:f>LISTAS!C3</x:f>
        <x:v>Salário / holerite</x:v>
      </x:c>
      <x:c r="C10" s="24" t="n">
        <x:f>SUMIFS(LANCAMENTOS!$F$7:$F$306,LANCAMENTOS!$E$7:$E$306,$B10,LANCAMENTOS!$D$7:$D$306,"Receita",LANCAMENTOS!$B$7:$B$306,"&gt;="&amp;DATE($D$6,1,1),LANCAMENTOS!$B$7:$B$306,"&lt;"&amp;DATE($D$6+1,1,1))</x:f>
        <x:v>0</x:v>
      </x:c>
      <x:c r="D10" s="24" t="n">
        <x:f>SUMIFS(LANCAMENTOS!$F$7:$F$306,LANCAMENTOS!$E$7:$E$306,$B10,LANCAMENTOS!$D$7:$D$306,"Despesa",LANCAMENTOS!$B$7:$B$306,"&gt;="&amp;DATE($D$6,1,1),LANCAMENTOS!$B$7:$B$306,"&lt;"&amp;DATE($D$6+1,1,1))</x:f>
        <x:v>0</x:v>
      </x:c>
    </x:row>
    <x:row r="11" ht="23" customHeight="1">
      <x:c r="B11" t="str">
        <x:f>LISTAS!C4</x:f>
        <x:v>13º salário</x:v>
      </x:c>
      <x:c r="C11" s="24" t="n">
        <x:f>SUMIFS(LANCAMENTOS!$F$7:$F$306,LANCAMENTOS!$E$7:$E$306,$B11,LANCAMENTOS!$D$7:$D$306,"Receita",LANCAMENTOS!$B$7:$B$306,"&gt;="&amp;DATE($D$6,1,1),LANCAMENTOS!$B$7:$B$306,"&lt;"&amp;DATE($D$6+1,1,1))</x:f>
        <x:v>0</x:v>
      </x:c>
      <x:c r="D11" s="24" t="n">
        <x:f>SUMIFS(LANCAMENTOS!$F$7:$F$306,LANCAMENTOS!$E$7:$E$306,$B11,LANCAMENTOS!$D$7:$D$306,"Despesa",LANCAMENTOS!$B$7:$B$306,"&gt;="&amp;DATE($D$6,1,1),LANCAMENTOS!$B$7:$B$306,"&lt;"&amp;DATE($D$6+1,1,1))</x:f>
        <x:v>0</x:v>
      </x:c>
    </x:row>
    <x:row r="12" ht="23" customHeight="1">
      <x:c r="B12" t="str">
        <x:f>LISTAS!C5</x:f>
        <x:v>Férias</x:v>
      </x:c>
      <x:c r="C12" s="24" t="n">
        <x:f>SUMIFS(LANCAMENTOS!$F$7:$F$306,LANCAMENTOS!$E$7:$E$306,$B12,LANCAMENTOS!$D$7:$D$306,"Receita",LANCAMENTOS!$B$7:$B$306,"&gt;="&amp;DATE($D$6,1,1),LANCAMENTOS!$B$7:$B$306,"&lt;"&amp;DATE($D$6+1,1,1))</x:f>
        <x:v>0</x:v>
      </x:c>
      <x:c r="D12" s="24" t="n">
        <x:f>SUMIFS(LANCAMENTOS!$F$7:$F$306,LANCAMENTOS!$E$7:$E$306,$B12,LANCAMENTOS!$D$7:$D$306,"Despesa",LANCAMENTOS!$B$7:$B$306,"&gt;="&amp;DATE($D$6,1,1),LANCAMENTOS!$B$7:$B$306,"&lt;"&amp;DATE($D$6+1,1,1))</x:f>
        <x:v>0</x:v>
      </x:c>
    </x:row>
    <x:row r="13" ht="23" customHeight="1">
      <x:c r="B13" t="str">
        <x:f>LISTAS!C6</x:f>
        <x:v>Serviços prestados</x:v>
      </x:c>
      <x:c r="C13" s="24" t="n">
        <x:f>SUMIFS(LANCAMENTOS!$F$7:$F$306,LANCAMENTOS!$E$7:$E$306,$B13,LANCAMENTOS!$D$7:$D$306,"Receita",LANCAMENTOS!$B$7:$B$306,"&gt;="&amp;DATE($D$6,1,1),LANCAMENTOS!$B$7:$B$306,"&lt;"&amp;DATE($D$6+1,1,1))</x:f>
        <x:v>0</x:v>
      </x:c>
      <x:c r="D13" s="24" t="n">
        <x:f>SUMIFS(LANCAMENTOS!$F$7:$F$306,LANCAMENTOS!$E$7:$E$306,$B13,LANCAMENTOS!$D$7:$D$306,"Despesa",LANCAMENTOS!$B$7:$B$306,"&gt;="&amp;DATE($D$6,1,1),LANCAMENTOS!$B$7:$B$306,"&lt;"&amp;DATE($D$6+1,1,1))</x:f>
        <x:v>0</x:v>
      </x:c>
    </x:row>
    <x:row r="14" ht="23" customHeight="1">
      <x:c r="B14" t="str">
        <x:f>LISTAS!C7</x:f>
        <x:v>Aluguel recebido</x:v>
      </x:c>
      <x:c r="C14" s="24" t="n">
        <x:f>SUMIFS(LANCAMENTOS!$F$7:$F$306,LANCAMENTOS!$E$7:$E$306,$B14,LANCAMENTOS!$D$7:$D$306,"Receita",LANCAMENTOS!$B$7:$B$306,"&gt;="&amp;DATE($D$6,1,1),LANCAMENTOS!$B$7:$B$306,"&lt;"&amp;DATE($D$6+1,1,1))</x:f>
        <x:v>0</x:v>
      </x:c>
      <x:c r="D14" s="24" t="n">
        <x:f>SUMIFS(LANCAMENTOS!$F$7:$F$306,LANCAMENTOS!$E$7:$E$306,$B14,LANCAMENTOS!$D$7:$D$306,"Despesa",LANCAMENTOS!$B$7:$B$306,"&gt;="&amp;DATE($D$6,1,1),LANCAMENTOS!$B$7:$B$306,"&lt;"&amp;DATE($D$6+1,1,1))</x:f>
        <x:v>0</x:v>
      </x:c>
    </x:row>
    <x:row r="15" ht="23" customHeight="1">
      <x:c r="B15" t="str">
        <x:f>LISTAS!C8</x:f>
        <x:v>Rendimentos financeiros</x:v>
      </x:c>
      <x:c r="C15" s="24" t="n">
        <x:f>SUMIFS(LANCAMENTOS!$F$7:$F$306,LANCAMENTOS!$E$7:$E$306,$B15,LANCAMENTOS!$D$7:$D$306,"Receita",LANCAMENTOS!$B$7:$B$306,"&gt;="&amp;DATE($D$6,1,1),LANCAMENTOS!$B$7:$B$306,"&lt;"&amp;DATE($D$6+1,1,1))</x:f>
        <x:v>0</x:v>
      </x:c>
      <x:c r="D15" s="24" t="n">
        <x:f>SUMIFS(LANCAMENTOS!$F$7:$F$306,LANCAMENTOS!$E$7:$E$306,$B15,LANCAMENTOS!$D$7:$D$306,"Despesa",LANCAMENTOS!$B$7:$B$306,"&gt;="&amp;DATE($D$6,1,1),LANCAMENTOS!$B$7:$B$306,"&lt;"&amp;DATE($D$6+1,1,1))</x:f>
        <x:v>0</x:v>
      </x:c>
    </x:row>
    <x:row r="16" ht="23" customHeight="1">
      <x:c r="B16" t="str">
        <x:f>LISTAS!C9</x:f>
        <x:v>Dividendos / JCP</x:v>
      </x:c>
      <x:c r="C16" s="24" t="n">
        <x:f>SUMIFS(LANCAMENTOS!$F$7:$F$306,LANCAMENTOS!$E$7:$E$306,$B16,LANCAMENTOS!$D$7:$D$306,"Receita",LANCAMENTOS!$B$7:$B$306,"&gt;="&amp;DATE($D$6,1,1),LANCAMENTOS!$B$7:$B$306,"&lt;"&amp;DATE($D$6+1,1,1))</x:f>
        <x:v>0</x:v>
      </x:c>
      <x:c r="D16" s="24" t="n">
        <x:f>SUMIFS(LANCAMENTOS!$F$7:$F$306,LANCAMENTOS!$E$7:$E$306,$B16,LANCAMENTOS!$D$7:$D$306,"Despesa",LANCAMENTOS!$B$7:$B$306,"&gt;="&amp;DATE($D$6,1,1),LANCAMENTOS!$B$7:$B$306,"&lt;"&amp;DATE($D$6+1,1,1))</x:f>
        <x:v>0</x:v>
      </x:c>
    </x:row>
    <x:row r="17" ht="23" customHeight="1">
      <x:c r="B17" t="str">
        <x:f>LISTAS!C10</x:f>
        <x:v>Outros rendimentos</x:v>
      </x:c>
      <x:c r="C17" s="24" t="n">
        <x:f>SUMIFS(LANCAMENTOS!$F$7:$F$306,LANCAMENTOS!$E$7:$E$306,$B17,LANCAMENTOS!$D$7:$D$306,"Receita",LANCAMENTOS!$B$7:$B$306,"&gt;="&amp;DATE($D$6,1,1),LANCAMENTOS!$B$7:$B$306,"&lt;"&amp;DATE($D$6+1,1,1))</x:f>
        <x:v>0</x:v>
      </x:c>
      <x:c r="D17" s="24" t="n">
        <x:f>SUMIFS(LANCAMENTOS!$F$7:$F$306,LANCAMENTOS!$E$7:$E$306,$B17,LANCAMENTOS!$D$7:$D$306,"Despesa",LANCAMENTOS!$B$7:$B$306,"&gt;="&amp;DATE($D$6,1,1),LANCAMENTOS!$B$7:$B$306,"&lt;"&amp;DATE($D$6+1,1,1))</x:f>
        <x:v>0</x:v>
      </x:c>
    </x:row>
    <x:row r="18" ht="23" customHeight="1">
      <x:c r="B18" t="str">
        <x:f>LISTAS!C11</x:f>
        <x:v>Saúde</x:v>
      </x:c>
      <x:c r="C18" s="24" t="n">
        <x:f>SUMIFS(LANCAMENTOS!$F$7:$F$306,LANCAMENTOS!$E$7:$E$306,$B18,LANCAMENTOS!$D$7:$D$306,"Receita",LANCAMENTOS!$B$7:$B$306,"&gt;="&amp;DATE($D$6,1,1),LANCAMENTOS!$B$7:$B$306,"&lt;"&amp;DATE($D$6+1,1,1))</x:f>
        <x:v>0</x:v>
      </x:c>
      <x:c r="D18" s="24" t="n">
        <x:f>SUMIFS(LANCAMENTOS!$F$7:$F$306,LANCAMENTOS!$E$7:$E$306,$B18,LANCAMENTOS!$D$7:$D$306,"Despesa",LANCAMENTOS!$B$7:$B$306,"&gt;="&amp;DATE($D$6,1,1),LANCAMENTOS!$B$7:$B$306,"&lt;"&amp;DATE($D$6+1,1,1))</x:f>
        <x:v>0</x:v>
      </x:c>
    </x:row>
    <x:row r="19" ht="23" customHeight="1">
      <x:c r="B19" t="str">
        <x:f>LISTAS!C12</x:f>
        <x:v>Educação</x:v>
      </x:c>
      <x:c r="C19" s="24" t="n">
        <x:f>SUMIFS(LANCAMENTOS!$F$7:$F$306,LANCAMENTOS!$E$7:$E$306,$B19,LANCAMENTOS!$D$7:$D$306,"Receita",LANCAMENTOS!$B$7:$B$306,"&gt;="&amp;DATE($D$6,1,1),LANCAMENTOS!$B$7:$B$306,"&lt;"&amp;DATE($D$6+1,1,1))</x:f>
        <x:v>0</x:v>
      </x:c>
      <x:c r="D19" s="24" t="n">
        <x:f>SUMIFS(LANCAMENTOS!$F$7:$F$306,LANCAMENTOS!$E$7:$E$306,$B19,LANCAMENTOS!$D$7:$D$306,"Despesa",LANCAMENTOS!$B$7:$B$306,"&gt;="&amp;DATE($D$6,1,1),LANCAMENTOS!$B$7:$B$306,"&lt;"&amp;DATE($D$6+1,1,1))</x:f>
        <x:v>0</x:v>
      </x:c>
    </x:row>
    <x:row r="20" ht="23" customHeight="1">
      <x:c r="B20" t="str">
        <x:f>LISTAS!C13</x:f>
        <x:v>Moradia</x:v>
      </x:c>
      <x:c r="C20" s="24" t="n">
        <x:f>SUMIFS(LANCAMENTOS!$F$7:$F$306,LANCAMENTOS!$E$7:$E$306,$B20,LANCAMENTOS!$D$7:$D$306,"Receita",LANCAMENTOS!$B$7:$B$306,"&gt;="&amp;DATE($D$6,1,1),LANCAMENTOS!$B$7:$B$306,"&lt;"&amp;DATE($D$6+1,1,1))</x:f>
        <x:v>0</x:v>
      </x:c>
      <x:c r="D20" s="24" t="n">
        <x:f>SUMIFS(LANCAMENTOS!$F$7:$F$306,LANCAMENTOS!$E$7:$E$306,$B20,LANCAMENTOS!$D$7:$D$306,"Despesa",LANCAMENTOS!$B$7:$B$306,"&gt;="&amp;DATE($D$6,1,1),LANCAMENTOS!$B$7:$B$306,"&lt;"&amp;DATE($D$6+1,1,1))</x:f>
        <x:v>0</x:v>
      </x:c>
    </x:row>
    <x:row r="21" ht="23" customHeight="1">
      <x:c r="B21" t="str">
        <x:f>LISTAS!C14</x:f>
        <x:v>Alimentação</x:v>
      </x:c>
      <x:c r="C21" s="24" t="n">
        <x:f>SUMIFS(LANCAMENTOS!$F$7:$F$306,LANCAMENTOS!$E$7:$E$306,$B21,LANCAMENTOS!$D$7:$D$306,"Receita",LANCAMENTOS!$B$7:$B$306,"&gt;="&amp;DATE($D$6,1,1),LANCAMENTOS!$B$7:$B$306,"&lt;"&amp;DATE($D$6+1,1,1))</x:f>
        <x:v>0</x:v>
      </x:c>
      <x:c r="D21" s="24" t="n">
        <x:f>SUMIFS(LANCAMENTOS!$F$7:$F$306,LANCAMENTOS!$E$7:$E$306,$B21,LANCAMENTOS!$D$7:$D$306,"Despesa",LANCAMENTOS!$B$7:$B$306,"&gt;="&amp;DATE($D$6,1,1),LANCAMENTOS!$B$7:$B$306,"&lt;"&amp;DATE($D$6+1,1,1))</x:f>
        <x:v>0</x:v>
      </x:c>
    </x:row>
    <x:row r="22" ht="23" customHeight="1">
      <x:c r="B22" t="str">
        <x:f>LISTAS!C15</x:f>
        <x:v>Transporte</x:v>
      </x:c>
      <x:c r="C22" s="24" t="n">
        <x:f>SUMIFS(LANCAMENTOS!$F$7:$F$306,LANCAMENTOS!$E$7:$E$306,$B22,LANCAMENTOS!$D$7:$D$306,"Receita",LANCAMENTOS!$B$7:$B$306,"&gt;="&amp;DATE($D$6,1,1),LANCAMENTOS!$B$7:$B$306,"&lt;"&amp;DATE($D$6+1,1,1))</x:f>
        <x:v>0</x:v>
      </x:c>
      <x:c r="D22" s="24" t="n">
        <x:f>SUMIFS(LANCAMENTOS!$F$7:$F$306,LANCAMENTOS!$E$7:$E$306,$B22,LANCAMENTOS!$D$7:$D$306,"Despesa",LANCAMENTOS!$B$7:$B$306,"&gt;="&amp;DATE($D$6,1,1),LANCAMENTOS!$B$7:$B$306,"&lt;"&amp;DATE($D$6+1,1,1))</x:f>
        <x:v>0</x:v>
      </x:c>
    </x:row>
    <x:row r="23" ht="23" customHeight="1">
      <x:c r="B23" t="str">
        <x:f>LISTAS!C16</x:f>
        <x:v>Outras despesas</x:v>
      </x:c>
      <x:c r="C23" s="24" t="n">
        <x:f>SUMIFS(LANCAMENTOS!$F$7:$F$306,LANCAMENTOS!$E$7:$E$306,$B23,LANCAMENTOS!$D$7:$D$306,"Receita",LANCAMENTOS!$B$7:$B$306,"&gt;="&amp;DATE($D$6,1,1),LANCAMENTOS!$B$7:$B$306,"&lt;"&amp;DATE($D$6+1,1,1))</x:f>
        <x:v>0</x:v>
      </x:c>
      <x:c r="D23" s="24" t="n">
        <x:f>SUMIFS(LANCAMENTOS!$F$7:$F$306,LANCAMENTOS!$E$7:$E$306,$B23,LANCAMENTOS!$D$7:$D$306,"Despesa",LANCAMENTOS!$B$7:$B$306,"&gt;="&amp;DATE($D$6,1,1),LANCAMENTOS!$B$7:$B$306,"&lt;"&amp;DATE($D$6+1,1,1))</x:f>
        <x:v>0</x:v>
      </x:c>
    </x:row>
    <x:row r="24" ht="23" customHeight="1"/>
    <x:row r="25" ht="23" customHeight="1"/>
    <x:row r="26" ht="23" customHeight="1">
      <x:c r="B26" t="str">
        <x:v>Receitas registradas</x:v>
      </x:c>
      <x:c r="C26" s="24" t="n">
        <x:f>SUM(C10:C23)</x:f>
        <x:v>0</x:v>
      </x:c>
    </x:row>
    <x:row r="27" ht="23" customHeight="1">
      <x:c r="B27" t="str">
        <x:v>Despesas registradas</x:v>
      </x:c>
      <x:c r="C27" s="24" t="n">
        <x:f>SUM(D10:D23)</x:f>
        <x:v>0</x:v>
      </x:c>
    </x:row>
    <x:row r="28" ht="23" customHeight="1">
      <x:c r="B28" t="str">
        <x:v>Diferença operacional</x:v>
      </x:c>
      <x:c r="C28" s="24" t="n">
        <x:f>C26-C27</x:f>
        <x:v>0</x:v>
      </x:c>
    </x:row>
    <x:row r="29" ht="23" customHeight="1"/>
    <x:row r="30" ht="23" customHeight="1"/>
    <x:row r="31" ht="23" customHeight="1">
      <x:c r="B31" s="46" t="str">
        <x:v>Diferença operacional não representa imposto devido, restituição nem base tributável.</x:v>
      </x:c>
      <x:c r="C31" s="46"/>
      <x:c r="D31" s="46"/>
      <x:c r="E31" s="46"/>
      <x:c r="F31" s="46"/>
      <x:c r="G31" s="46"/>
      <x:c r="H31" s="46"/>
      <x:c r="I31" s="46"/>
      <x:c r="J31" s="46"/>
    </x:row>
    <x:row r="32" ht="23" customHeight="1">
      <x:c r="B32" s="46"/>
      <x:c r="C32" s="46"/>
      <x:c r="D32" s="46"/>
      <x:c r="E32" s="46"/>
      <x:c r="F32" s="46"/>
      <x:c r="G32" s="46"/>
      <x:c r="H32" s="46"/>
      <x:c r="I32" s="46"/>
      <x:c r="J32" s="46"/>
    </x:row>
    <x:row r="33" ht="23" customHeight="1"/>
    <x:row r="34" ht="23" customHeight="1"/>
    <x:row r="35" ht="23" customHeight="1"/>
    <x:row r="36" ht="23" customHeight="1"/>
    <x:row r="37" ht="23" customHeight="1"/>
    <x:row r="38" ht="23" customHeight="1"/>
    <x:row r="39" ht="23" customHeight="1"/>
    <x:row r="40" ht="23" customHeight="1"/>
    <x:row r="41" ht="23" customHeight="1"/>
    <x:row r="42" ht="23" customHeight="1"/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  <x:row r="51" ht="23" customHeight="1"/>
    <x:row r="52" ht="23" customHeight="1"/>
    <x:row r="53" ht="23" customHeight="1"/>
    <x:row r="54" ht="23" customHeight="1"/>
    <x:row r="55" ht="23" customHeight="1"/>
    <x:row r="56" ht="23" customHeight="1"/>
    <x:row r="57" ht="23" customHeight="1"/>
    <x:row r="58" ht="23" customHeight="1"/>
    <x:row r="59" ht="23" customHeight="1"/>
    <x:row r="60" ht="23" customHeight="1"/>
  </x:sheetData>
  <x:mergeCells>
    <x:mergeCell ref="B2:J3"/>
    <x:mergeCell ref="B8:E8"/>
    <x:mergeCell ref="B31:J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8" customHeight="1">
      <x:c r="A1" s="10" t="str">
        <x:v>LISTAS DE APOIO | Referência e validação</x:v>
      </x:c>
      <x:c r="B1" s="10"/>
      <x:c r="C1" s="10"/>
      <x:c r="D1" s="10"/>
      <x:c r="E1" s="10"/>
      <x:c r="F1" s="10"/>
      <x:c r="G1" s="10"/>
    </x:row>
    <x:row r="2" ht="29" customHeight="1">
      <x:c r="A2" s="32" t="str">
        <x:v>INSTITUIÇÕES</x:v>
      </x:c>
      <x:c r="B2" s="32" t="str">
        <x:v>TIPO DE CONTA</x:v>
      </x:c>
      <x:c r="C2" s="32" t="str">
        <x:v>CATEGORIAS</x:v>
      </x:c>
      <x:c r="D2" s="32" t="str">
        <x:v>TIPOS DE DOCUMENTO</x:v>
      </x:c>
      <x:c r="E2" s="32" t="str">
        <x:v>UF</x:v>
      </x:c>
    </x:row>
    <x:row r="3" ht="23" customHeight="1">
      <x:c r="A3" t="str">
        <x:v>1 - Banco do Brasil</x:v>
      </x:c>
      <x:c r="B3" t="str">
        <x:v>Conta corrente</x:v>
      </x:c>
      <x:c r="C3" t="str">
        <x:v>Salário / holerite</x:v>
      </x:c>
      <x:c r="D3" t="str">
        <x:v>Informe de rendimentos</x:v>
      </x:c>
      <x:c r="E3" t="str">
        <x:v>AC</x:v>
      </x:c>
    </x:row>
    <x:row r="4" ht="28" customHeight="1">
      <x:c r="A4" t="str">
        <x:v>102 - XP Investimentos CCTVM S.A.</x:v>
      </x:c>
      <x:c r="B4" s="4" t="str">
        <x:v>Conta poupança</x:v>
      </x:c>
      <x:c r="C4" s="4" t="str">
        <x:v>13º salário</x:v>
      </x:c>
      <x:c r="D4" s="4" t="str">
        <x:v>Informe bancário</x:v>
      </x:c>
      <x:c r="E4" s="4" t="str">
        <x:v>AL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>
      <x:c r="A5" t="str">
        <x:v>104 - Caixa Econômica Federal</x:v>
      </x:c>
      <x:c r="B5" t="str">
        <x:v>Conta pagamento</x:v>
      </x:c>
      <x:c r="C5" t="str">
        <x:v>Férias</x:v>
      </x:c>
      <x:c r="D5" t="str">
        <x:v>Comprovante de saúde</x:v>
      </x:c>
      <x:c r="E5" t="str">
        <x:v>AP</x:v>
      </x:c>
    </x:row>
    <x:row r="6" ht="23" customHeight="1">
      <x:c r="A6" t="str">
        <x:v>119 - Banco Western Union do Brasil</x:v>
      </x:c>
      <x:c r="B6" t="str">
        <x:v>Corretora</x:v>
      </x:c>
      <x:c r="C6" t="str">
        <x:v>Serviços prestados</x:v>
      </x:c>
      <x:c r="D6" t="str">
        <x:v>Comprovante de educação</x:v>
      </x:c>
      <x:c r="E6" t="str">
        <x:v>AM</x:v>
      </x:c>
    </x:row>
    <x:row r="7" ht="23" customHeight="1">
      <x:c r="A7" t="str">
        <x:v>184 - Banco Itaú BBA S.A.</x:v>
      </x:c>
      <x:c r="B7" t="str">
        <x:v>Investimento</x:v>
      </x:c>
      <x:c r="C7" t="str">
        <x:v>Aluguel recebido</x:v>
      </x:c>
      <x:c r="D7" t="str">
        <x:v>Recibo / nota fiscal</x:v>
      </x:c>
      <x:c r="E7" t="str">
        <x:v>BA</x:v>
      </x:c>
    </x:row>
    <x:row r="8" ht="23" customHeight="1">
      <x:c r="A8" t="str">
        <x:v>197 - Stone Pagamentos</x:v>
      </x:c>
      <x:c r="B8" t="str">
        <x:v>Conta digital</x:v>
      </x:c>
      <x:c r="C8" t="str">
        <x:v>Rendimentos financeiros</x:v>
      </x:c>
      <x:c r="D8" t="str">
        <x:v>Holerite</x:v>
      </x:c>
      <x:c r="E8" t="str">
        <x:v>CE</x:v>
      </x:c>
    </x:row>
    <x:row r="9" ht="23" customHeight="1">
      <x:c r="A9" t="str">
        <x:v>208 - Banco BTG Pactual</x:v>
      </x:c>
      <x:c r="B9" t="str">
        <x:v>Outros</x:v>
      </x:c>
      <x:c r="C9" t="str">
        <x:v>Dividendos / JCP</x:v>
      </x:c>
      <x:c r="D9" t="str">
        <x:v>Extrato bancário</x:v>
      </x:c>
      <x:c r="E9" t="str">
        <x:v>DF</x:v>
      </x:c>
    </x:row>
    <x:row r="10" ht="23" customHeight="1">
      <x:c r="A10" t="str">
        <x:v>212 - Banco Original</x:v>
      </x:c>
      <x:c r="C10" t="str">
        <x:v>Outros rendimentos</x:v>
      </x:c>
      <x:c r="D10" t="str">
        <x:v>Comprovante de aluguel</x:v>
      </x:c>
      <x:c r="E10" t="str">
        <x:v>ES</x:v>
      </x:c>
    </x:row>
    <x:row r="11" ht="23" customHeight="1">
      <x:c r="A11" t="str">
        <x:v>218 - Banco Bonsucesso</x:v>
      </x:c>
      <x:c r="C11" t="str">
        <x:v>Saúde</x:v>
      </x:c>
      <x:c r="D11" t="str">
        <x:v>Comprovante de investimento</x:v>
      </x:c>
      <x:c r="E11" t="str">
        <x:v>GO</x:v>
      </x:c>
    </x:row>
    <x:row r="12" ht="23" customHeight="1">
      <x:c r="A12" t="str">
        <x:v>229 - Banco Cruzeiro do Sul</x:v>
      </x:c>
      <x:c r="C12" t="str">
        <x:v>Educação</x:v>
      </x:c>
      <x:c r="D12" t="str">
        <x:v>Outros</x:v>
      </x:c>
      <x:c r="E12" t="str">
        <x:v>MA</x:v>
      </x:c>
    </x:row>
    <x:row r="13" ht="23" customHeight="1">
      <x:c r="A13" t="str">
        <x:v>237 - Banco Bradesco</x:v>
      </x:c>
      <x:c r="C13" t="str">
        <x:v>Moradia</x:v>
      </x:c>
      <x:c r="D13" t="str">
        <x:v>Declaração anterior</x:v>
      </x:c>
      <x:c r="E13" t="str">
        <x:v>MT</x:v>
      </x:c>
    </x:row>
    <x:row r="14" ht="23" customHeight="1">
      <x:c r="A14" t="str">
        <x:v>24 - Banco de Pernambuco</x:v>
      </x:c>
      <x:c r="C14" t="str">
        <x:v>Alimentação</x:v>
      </x:c>
      <x:c r="E14" t="str">
        <x:v>MS</x:v>
      </x:c>
    </x:row>
    <x:row r="15" ht="23" customHeight="1">
      <x:c r="A15" t="str">
        <x:v>241 - Banco Clássico</x:v>
      </x:c>
      <x:c r="C15" t="str">
        <x:v>Transporte</x:v>
      </x:c>
      <x:c r="E15" t="str">
        <x:v>MG</x:v>
      </x:c>
    </x:row>
    <x:row r="16" ht="23" customHeight="1">
      <x:c r="A16" t="str">
        <x:v>250 - Banco de Crédito e Varejo (BCV)</x:v>
      </x:c>
      <x:c r="C16" t="str">
        <x:v>Outras despesas</x:v>
      </x:c>
      <x:c r="E16" t="str">
        <x:v>PA</x:v>
      </x:c>
    </x:row>
    <x:row r="17" ht="23" customHeight="1">
      <x:c r="A17" t="str">
        <x:v>260 - Nubank</x:v>
      </x:c>
      <x:c r="E17" t="str">
        <x:v>PB</x:v>
      </x:c>
    </x:row>
    <x:row r="18" ht="23" customHeight="1">
      <x:c r="A18" t="str">
        <x:v>29 - Banco do Estado do Rio de Janeiro</x:v>
      </x:c>
      <x:c r="E18" t="str">
        <x:v>PR</x:v>
      </x:c>
    </x:row>
    <x:row r="19" ht="23" customHeight="1">
      <x:c r="A19" t="str">
        <x:v>290 - PagBank</x:v>
      </x:c>
      <x:c r="E19" t="str">
        <x:v>PE</x:v>
      </x:c>
    </x:row>
    <x:row r="20" ht="23" customHeight="1">
      <x:c r="A20" t="str">
        <x:v>3 - Banco da Amazônia</x:v>
      </x:c>
      <x:c r="E20" t="str">
        <x:v>PI</x:v>
      </x:c>
    </x:row>
    <x:row r="21" ht="23" customHeight="1">
      <x:c r="A21" t="str">
        <x:v>33 - Banco Santander</x:v>
      </x:c>
      <x:c r="E21" t="str">
        <x:v>RJ</x:v>
      </x:c>
    </x:row>
    <x:row r="22" ht="23" customHeight="1">
      <x:c r="A22" t="str">
        <x:v>336 - C6 Bank</x:v>
      </x:c>
      <x:c r="E22" t="str">
        <x:v>RN</x:v>
      </x:c>
    </x:row>
    <x:row r="23" ht="23" customHeight="1">
      <x:c r="A23" t="str">
        <x:v>341 - Itaú Unibanco</x:v>
      </x:c>
      <x:c r="E23" t="str">
        <x:v>RS</x:v>
      </x:c>
    </x:row>
    <x:row r="24" ht="23" customHeight="1">
      <x:c r="A24" t="str">
        <x:v>37 - Banco do Estado do Pará</x:v>
      </x:c>
      <x:c r="E24" t="str">
        <x:v>RO</x:v>
      </x:c>
    </x:row>
    <x:row r="25" ht="23" customHeight="1">
      <x:c r="A25" t="str">
        <x:v>376 - Banco JPMorgan S.A.</x:v>
      </x:c>
      <x:c r="E25" t="str">
        <x:v>RR</x:v>
      </x:c>
    </x:row>
    <x:row r="26" ht="23" customHeight="1">
      <x:c r="A26" t="str">
        <x:v>380 - PicPay</x:v>
      </x:c>
      <x:c r="E26" t="str">
        <x:v>SC</x:v>
      </x:c>
    </x:row>
    <x:row r="27" ht="23" customHeight="1">
      <x:c r="A27" t="str">
        <x:v>4 - Banco do Nordeste do Brasil</x:v>
      </x:c>
      <x:c r="E27" t="str">
        <x:v>SP</x:v>
      </x:c>
    </x:row>
    <x:row r="28" ht="23" customHeight="1">
      <x:c r="A28" t="str">
        <x:v>41 - Banco do Estado do Rio Grande do Sul</x:v>
      </x:c>
      <x:c r="E28" t="str">
        <x:v>SE</x:v>
      </x:c>
    </x:row>
    <x:row r="29" ht="23" customHeight="1">
      <x:c r="A29" t="str">
        <x:v>422 - Banco Safra</x:v>
      </x:c>
      <x:c r="E29" t="str">
        <x:v>TO</x:v>
      </x:c>
    </x:row>
    <x:row r="30" ht="23" customHeight="1">
      <x:c r="A30" t="str">
        <x:v>44 - Banco BVA</x:v>
      </x:c>
    </x:row>
    <x:row r="31" ht="23" customHeight="1">
      <x:c r="A31" t="str">
        <x:v>464 - Banco Sumitomo Mitsui Brasileiro</x:v>
      </x:c>
    </x:row>
    <x:row r="32" ht="23" customHeight="1">
      <x:c r="A32" t="str">
        <x:v>477 - Citibank</x:v>
      </x:c>
    </x:row>
    <x:row r="33" ht="23" customHeight="1">
      <x:c r="A33" t="str">
        <x:v>600 - Banco Luso Brasileiro</x:v>
      </x:c>
    </x:row>
    <x:row r="34" ht="23" customHeight="1">
      <x:c r="A34" t="str">
        <x:v>604 - Banco Industrial do Brasil</x:v>
      </x:c>
    </x:row>
    <x:row r="35" ht="23" customHeight="1">
      <x:c r="A35" t="str">
        <x:v>610 - Banco VR</x:v>
      </x:c>
    </x:row>
    <x:row r="36" ht="23" customHeight="1">
      <x:c r="A36" t="str">
        <x:v>62 - Hipercard Banco Múltiplo</x:v>
      </x:c>
    </x:row>
    <x:row r="37" ht="23" customHeight="1">
      <x:c r="A37" t="str">
        <x:v>634 - Banco Triângulo</x:v>
      </x:c>
    </x:row>
    <x:row r="38" ht="23" customHeight="1">
      <x:c r="A38" t="str">
        <x:v>65 - Banco Lemon</x:v>
      </x:c>
    </x:row>
    <x:row r="39" ht="23" customHeight="1">
      <x:c r="A39" t="str">
        <x:v>654 - Banco AJ Renner</x:v>
      </x:c>
    </x:row>
    <x:row r="40" ht="23" customHeight="1">
      <x:c r="A40" t="str">
        <x:v>655 - Banco Votorantim</x:v>
      </x:c>
    </x:row>
    <x:row r="41" ht="23" customHeight="1">
      <x:c r="A41" t="str">
        <x:v>66 - Banco Morgan Stanley</x:v>
      </x:c>
    </x:row>
    <x:row r="42" ht="23" customHeight="1">
      <x:c r="A42" t="str">
        <x:v>707 - Banco Daycoval</x:v>
      </x:c>
    </x:row>
    <x:row r="43" ht="23" customHeight="1">
      <x:c r="A43" t="str">
        <x:v>72 - Banco Rural Mais</x:v>
      </x:c>
    </x:row>
    <x:row r="44" ht="23" customHeight="1">
      <x:c r="A44" t="str">
        <x:v>734 - Banco Gerdau</x:v>
      </x:c>
    </x:row>
    <x:row r="45" ht="23" customHeight="1">
      <x:c r="A45" t="str">
        <x:v>735 - Banco Neon</x:v>
      </x:c>
    </x:row>
    <x:row r="46" ht="23" customHeight="1">
      <x:c r="A46" t="str">
        <x:v>74 - Banco J. Safra</x:v>
      </x:c>
    </x:row>
    <x:row r="47" ht="23" customHeight="1">
      <x:c r="A47" t="str">
        <x:v>746 - Banco Modal</x:v>
      </x:c>
    </x:row>
    <x:row r="48" ht="23" customHeight="1">
      <x:c r="A48" t="str">
        <x:v>748 - Banco Cooperativo Sicredi S.A.</x:v>
      </x:c>
    </x:row>
    <x:row r="49" ht="23" customHeight="1">
      <x:c r="A49" t="str">
        <x:v>749 - Banco Simples</x:v>
      </x:c>
    </x:row>
    <x:row r="50" ht="23" customHeight="1">
      <x:c r="A50" t="str">
        <x:v>77 - Banco Inter</x:v>
      </x:c>
    </x:row>
    <x:row r="51" ht="23" customHeight="1">
      <x:c r="A51" t="str">
        <x:v>79 - Banco JBS</x:v>
      </x:c>
    </x:row>
    <x:row r="52" ht="23" customHeight="1">
      <x:c r="A52" t="str">
        <x:v>82 - Banco Topázio</x:v>
      </x:c>
    </x:row>
    <x:row r="53" ht="23" customHeight="1"/>
    <x:row r="54" ht="23" customHeight="1"/>
    <x:row r="55" ht="23" customHeight="1"/>
    <x:row r="56" ht="23" customHeight="1"/>
    <x:row r="57" ht="23" customHeight="1"/>
    <x:row r="58" ht="23" customHeight="1"/>
    <x:row r="59" ht="23" customHeight="1"/>
    <x:row r="60" ht="23" customHeight="1"/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0" hidden="0" customWidth="1"/>
    <x:col min="3" max="3" width="10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38" customHeight="1">
      <x:c r="B2" s="10" t="str">
        <x:v>IR CONTROL  |  Guia rápido e limites</x:v>
      </x:c>
      <x:c r="C2" s="10"/>
      <x:c r="D2" s="10"/>
      <x:c r="E2" s="10"/>
      <x:c r="F2" s="10"/>
      <x:c r="G2" s="10"/>
      <x:c r="H2" s="10"/>
      <x:c r="I2" s="10"/>
      <x:c r="J2" s="10"/>
    </x:row>
    <x:row r="3" ht="38" customHeight="1"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8" customHeight="1">
      <x:c r="B4" s="4" t="e">
        <x:f>HYPERLINK("#'PAINEL'!B2","PAINEL")</x:f>
        <x:v>HYPERLINK is not implemented. linkLocation=#'PAINEL'!B2, friendlyName=PAINEL</x:v>
      </x:c>
      <x:c r="C4" s="4" t="e">
        <x:f>HYPERLINK("#'TITULAR'!B2","TITULAR")</x:f>
        <x:v>HYPERLINK is not implemented. linkLocation=#'TITULAR'!B2, friendlyName=TITULAR</x:v>
      </x:c>
      <x:c r="D4" s="4" t="e">
        <x:f>HYPERLINK("#'INFORMES'!B2","INFORMES")</x:f>
        <x:v>HYPERLINK is not implemented. linkLocation=#'INFORMES'!B2, friendlyName=INFORMES</x:v>
      </x:c>
      <x:c r="E4" s="4" t="e">
        <x:f>HYPERLINK("#'LANCAMENTOS'!B2","LANÇAMENTOS")</x:f>
        <x:v>HYPERLINK is not implemented. linkLocation=#'LANCAMENTOS'!B2, friendlyName=LANÇAMENTOS</x:v>
      </x:c>
      <x:c r="F4" s="4" t="e">
        <x:f>HYPERLINK("#'DOCUMENTOS'!B2","DOCUMENTOS")</x:f>
        <x:v>HYPERLINK is not implemented. linkLocation=#'DOCUMENTOS'!B2, friendlyName=DOCUMENTOS</x:v>
      </x:c>
      <x:c r="G4" s="4" t="e">
        <x:f>HYPERLINK("#'RESUMO'!B2","RESUMO")</x:f>
        <x:v>HYPERLINK is not implemented. linkLocation=#'RESUMO'!B2, friendlyName=RESUMO</x:v>
      </x:c>
      <x:c r="H4" s="4" t="e">
        <x:f>HYPERLINK("#'GUIA'!B2","GUIA")</x:f>
        <x:v>HYPERLINK is not implemented. linkLocation=#'GUIA'!B2, friendlyName=GUIA</x:v>
      </x:c>
    </x:row>
    <x:row r="5" ht="23" customHeight="1"/>
    <x:row r="6" ht="23" customHeight="1"/>
    <x:row r="7" ht="42" customHeight="1">
      <x:c r="B7" s="52" t="str">
        <x:v>1  |  Configurar ano</x:v>
      </x:c>
      <x:c r="C7" s="46" t="str">
        <x:v>Em PAINEL!C6, defina o ano-calendário dos dados (ex.: 2025 para fatos ocorridos em 2025).</x:v>
      </x:c>
    </x:row>
    <x:row r="8" ht="42" customHeight="1">
      <x:c r="B8" s="52" t="str">
        <x:v>2  |  Titular</x:v>
      </x:c>
      <x:c r="C8" s="46" t="str">
        <x:v>Preencha os campos de identificação. CPF tem checagem apenas de formato básico.</x:v>
      </x:c>
    </x:row>
    <x:row r="9" ht="42" customHeight="1">
      <x:c r="B9" s="52" t="str">
        <x:v>3  |  Informes</x:v>
      </x:c>
      <x:c r="C9" s="46" t="str">
        <x:v>Insira até 120 registros bancários. Saldo informado é soma simples dos valores digitados; evite duplicações.</x:v>
      </x:c>
    </x:row>
    <x:row r="10" ht="42" customHeight="1">
      <x:c r="B10" s="52" t="str">
        <x:v>4  |  Lançamentos</x:v>
      </x:c>
      <x:c r="C10" s="46" t="str">
        <x:v>Insira até 300 registros com data real, tipo Receita/Despesa, categoria e valor positivo.</x:v>
      </x:c>
    </x:row>
    <x:row r="11" ht="42" customHeight="1">
      <x:c r="B11" s="52" t="str">
        <x:v>5  |  Documentos</x:v>
      </x:c>
      <x:c r="C11" s="46" t="str">
        <x:v>Insira até 100 comprovantes e altere o status para Recebido, Pendente ou Não aplicável.</x:v>
      </x:c>
    </x:row>
    <x:row r="12" ht="42" customHeight="1">
      <x:c r="B12" s="52" t="str">
        <x:v>6  |  Conferir</x:v>
      </x:c>
      <x:c r="C12" s="46" t="str">
        <x:v>Revise RESUMO e PAINEL. Total de receitas não é sinônimo de renda tributável.</x:v>
      </x:c>
    </x:row>
    <x:row r="13" ht="42" customHeight="1">
      <x:c r="B13" s="52" t="str">
        <x:v>7  |  Navegação</x:v>
      </x:c>
      <x:c r="C13" s="46" t="str">
        <x:v>Clique nos links da linha 4; sem macro, funciona no Excel com hiperlinks internos.</x:v>
      </x:c>
    </x:row>
    <x:row r="14" ht="42" customHeight="1">
      <x:c r="B14" s="52" t="str">
        <x:v>8  |  Privacidade</x:v>
      </x:c>
      <x:c r="C14" s="46" t="str">
        <x:v>Não publique a planilha preenchida com CPF, saldos ou informações pessoais em repositório público.</x:v>
      </x:c>
    </x:row>
    <x:row r="15" ht="42" customHeight="1">
      <x:c r="B15" s="52" t="str">
        <x:v>9  |  Limitações</x:v>
      </x:c>
      <x:c r="C15" s="46" t="str">
        <x:v>Não calcula imposto, deduções, alíquotas, restituição nem regras tributárias. Confira tudo no sistema da Receita Federal.</x:v>
      </x:c>
    </x:row>
    <x:row r="16" ht="42" customHeight="1">
      <x:c r="B16" s="52" t="str">
        <x:v>10 | Banco de apoio</x:v>
      </x:c>
      <x:c r="C16" s="46" t="str">
        <x:v>A lista de instituições veio do arquivo enviado e pode estar desatualizada; é editável em LISTAS.</x:v>
      </x:c>
    </x:row>
    <x:row r="17" ht="23" customHeight="1"/>
    <x:row r="18" ht="23" customHeight="1"/>
    <x:row r="19" ht="23" customHeight="1"/>
    <x:row r="20" ht="47" customHeight="1">
      <x:c r="B20" t="str">
        <x:v>FONTES</x:v>
      </x:c>
      <x:c r="C20" s="46" t="str">
        <x:v>Modelo didático DIO: projeto_completo.xlsx | Base de bancos: bancos_apoio.xlsx | VBA disponibilizado separadamente (não incluído no .xlsx).</x:v>
      </x:c>
    </x:row>
    <x:row r="21" ht="23" customHeight="1"/>
    <x:row r="22" ht="23" customHeight="1"/>
    <x:row r="23" ht="23" customHeight="1"/>
    <x:row r="24" ht="23" customHeight="1"/>
    <x:row r="25" ht="23" customHeight="1"/>
    <x:row r="26" ht="23" customHeight="1"/>
    <x:row r="27" ht="23" customHeight="1"/>
    <x:row r="28" ht="23" customHeight="1"/>
    <x:row r="29" ht="23" customHeight="1"/>
    <x:row r="30" ht="23" customHeight="1"/>
    <x:row r="31" ht="23" customHeight="1"/>
    <x:row r="32" ht="23" customHeight="1"/>
    <x:row r="33" ht="23" customHeight="1"/>
    <x:row r="34" ht="23" customHeight="1"/>
    <x:row r="35" ht="23" customHeight="1"/>
    <x:row r="36" ht="23" customHeight="1"/>
    <x:row r="37" ht="23" customHeight="1"/>
    <x:row r="38" ht="23" customHeight="1"/>
    <x:row r="39" ht="23" customHeight="1"/>
    <x:row r="40" ht="23" customHeight="1"/>
    <x:row r="41" ht="23" customHeight="1"/>
    <x:row r="42" ht="23" customHeight="1"/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  <x:row r="51" ht="23" customHeight="1"/>
    <x:row r="52" ht="23" customHeight="1"/>
    <x:row r="53" ht="23" customHeight="1"/>
    <x:row r="54" ht="23" customHeight="1"/>
    <x:row r="55" ht="23" customHeight="1"/>
    <x:row r="56" ht="23" customHeight="1"/>
    <x:row r="57" ht="23" customHeight="1"/>
    <x:row r="58" ht="23" customHeight="1"/>
    <x:row r="59" ht="23" customHeight="1"/>
    <x:row r="60" ht="23" customHeight="1"/>
  </x:sheetData>
  <x:mergeCells>
    <x:mergeCell ref="B2:J3"/>
  </x:mergeCells>
  <x:pageMargins left="0.7" right="0.7" top="0.75" bottom="0.75" header="0.3" footer="0.3"/>
</x:worksheet>
</file>